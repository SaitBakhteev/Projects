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fileSharing userName="А-343" reservationPassword="E491"/>
  <workbookPr codeName="ЭтаКнига" defaultThemeVersion="124226"/>
  <bookViews>
    <workbookView xWindow="480" yWindow="60" windowWidth="18195" windowHeight="11565" activeTab="1"/>
  </bookViews>
  <sheets>
    <sheet name="ВХОДНЫЕ ДАННЫЕ" sheetId="1" r:id="rId1"/>
    <sheet name="ВЫХОДНЫЕ ДАННЫЕ" sheetId="2" r:id="rId2"/>
    <sheet name="Лист3" sheetId="3" r:id="rId3"/>
    <sheet name="Лист1" sheetId="4" r:id="rId4"/>
  </sheets>
  <definedNames>
    <definedName name="bn">Лист1!$B$10</definedName>
    <definedName name="gn">Лист1!$E$10</definedName>
    <definedName name="ln">Лист1!$F$10</definedName>
    <definedName name="rn">Лист1!$C$10</definedName>
    <definedName name="tn">Лист1!$D$10</definedName>
    <definedName name="α">Лист1!$G$10</definedName>
    <definedName name="β">Лист1!$H$10</definedName>
    <definedName name="γ">Лист1!$J$10</definedName>
    <definedName name="ε">Лист1!$I$10</definedName>
    <definedName name="τ">Лист1!$E$2</definedName>
    <definedName name="Ψ1">Лист1!$B$1</definedName>
    <definedName name="Ψ2">Лист1!$B$2</definedName>
    <definedName name="Ψ3">Лист1!$B$3</definedName>
    <definedName name="Ψ4">Лист1!$B$4</definedName>
    <definedName name="Ψ5">Лист1!$B$5</definedName>
    <definedName name="Ψ6">Лист1!$B$6</definedName>
    <definedName name="ω">Лист1!$D$2</definedName>
  </definedNames>
  <calcPr calcId="144525"/>
</workbook>
</file>

<file path=xl/calcChain.xml><?xml version="1.0" encoding="utf-8"?>
<calcChain xmlns="http://schemas.openxmlformats.org/spreadsheetml/2006/main">
  <c r="J8" i="4" l="1"/>
  <c r="J2" i="4"/>
  <c r="J7" i="4"/>
  <c r="J6" i="4"/>
  <c r="I2" i="4"/>
  <c r="K2" i="4"/>
  <c r="F2" i="4" l="1"/>
  <c r="B61" i="1" l="1"/>
  <c r="B91" i="1"/>
  <c r="B90" i="1"/>
  <c r="B83" i="1"/>
  <c r="B78" i="1"/>
  <c r="B67" i="1"/>
  <c r="B66" i="1"/>
  <c r="B65" i="1"/>
  <c r="B64" i="1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K22" i="4"/>
  <c r="C22" i="4"/>
  <c r="D22" i="4"/>
  <c r="E22" i="4"/>
  <c r="H22" i="4"/>
  <c r="J22" i="4"/>
  <c r="I22" i="4"/>
  <c r="G22" i="4"/>
  <c r="F22" i="4"/>
  <c r="G2" i="4" l="1"/>
  <c r="H2" i="4"/>
  <c r="G3" i="4" l="1"/>
</calcChain>
</file>

<file path=xl/sharedStrings.xml><?xml version="1.0" encoding="utf-8"?>
<sst xmlns="http://schemas.openxmlformats.org/spreadsheetml/2006/main" count="229" uniqueCount="79">
  <si>
    <t>компонент</t>
  </si>
  <si>
    <t>н-Бутан</t>
  </si>
  <si>
    <t>Изопентан</t>
  </si>
  <si>
    <t>Азот</t>
  </si>
  <si>
    <t>Диоксид углерода</t>
  </si>
  <si>
    <t>Метан</t>
  </si>
  <si>
    <t>Этан</t>
  </si>
  <si>
    <t>Пропан</t>
  </si>
  <si>
    <t>Изобутан</t>
  </si>
  <si>
    <t>н-Пентан</t>
  </si>
  <si>
    <t>Ω</t>
  </si>
  <si>
    <r>
      <t>Т</t>
    </r>
    <r>
      <rPr>
        <b/>
        <vertAlign val="subscript"/>
        <sz val="12"/>
        <color theme="1"/>
        <rFont val="Times New Roman"/>
        <family val="1"/>
        <charset val="204"/>
      </rPr>
      <t>крi</t>
    </r>
    <r>
      <rPr>
        <b/>
        <sz val="12"/>
        <color theme="1"/>
        <rFont val="Times New Roman"/>
        <family val="1"/>
        <charset val="204"/>
      </rPr>
      <t>,К</t>
    </r>
  </si>
  <si>
    <r>
      <rPr>
        <b/>
        <sz val="12"/>
        <color theme="1"/>
        <rFont val="Symbol"/>
        <family val="1"/>
        <charset val="2"/>
      </rPr>
      <t>r</t>
    </r>
    <r>
      <rPr>
        <b/>
        <vertAlign val="subscript"/>
        <sz val="12"/>
        <color theme="1"/>
        <rFont val="Times New Roman"/>
        <family val="1"/>
        <charset val="204"/>
      </rPr>
      <t>крi</t>
    </r>
    <r>
      <rPr>
        <b/>
        <sz val="12"/>
        <color theme="1"/>
        <rFont val="Times New Roman"/>
        <family val="1"/>
        <charset val="204"/>
      </rPr>
      <t>, кг/м</t>
    </r>
    <r>
      <rPr>
        <b/>
        <vertAlign val="superscript"/>
        <sz val="12"/>
        <color theme="1"/>
        <rFont val="Times New Roman"/>
        <family val="1"/>
        <charset val="204"/>
      </rPr>
      <t>3</t>
    </r>
  </si>
  <si>
    <t>Пара компонентов (i, j)</t>
  </si>
  <si>
    <t>Параметры бинарного взаимодействия</t>
  </si>
  <si>
    <t xml:space="preserve"> </t>
  </si>
  <si>
    <t>n</t>
  </si>
  <si>
    <t>0,6709236199</t>
  </si>
  <si>
    <t>-1,765577859</t>
  </si>
  <si>
    <t>0,8582330241</t>
  </si>
  <si>
    <t>-1,206513052</t>
  </si>
  <si>
    <t>Диоксид
углерода</t>
  </si>
  <si>
    <t>Компонент</t>
  </si>
  <si>
    <r>
      <rPr>
        <i/>
        <sz val="12"/>
        <color theme="1"/>
        <rFont val="Times New Roman"/>
        <family val="1"/>
        <charset val="204"/>
      </rPr>
      <t>н</t>
    </r>
    <r>
      <rPr>
        <sz val="12"/>
        <color theme="1"/>
        <rFont val="Times New Roman"/>
        <family val="1"/>
        <charset val="204"/>
      </rPr>
      <t>-Бутан</t>
    </r>
  </si>
  <si>
    <r>
      <rPr>
        <i/>
        <sz val="12"/>
        <color theme="1"/>
        <rFont val="Times New Roman"/>
        <family val="1"/>
        <charset val="204"/>
      </rPr>
      <t>н</t>
    </r>
    <r>
      <rPr>
        <sz val="12"/>
        <color theme="1"/>
        <rFont val="Times New Roman"/>
        <family val="1"/>
        <charset val="204"/>
      </rPr>
      <t>-Пентан</t>
    </r>
  </si>
  <si>
    <r>
      <t>b</t>
    </r>
    <r>
      <rPr>
        <vertAlign val="subscript"/>
        <sz val="12"/>
        <color theme="1"/>
        <rFont val="Times New Roman"/>
        <family val="1"/>
        <charset val="204"/>
      </rPr>
      <t>n</t>
    </r>
  </si>
  <si>
    <r>
      <t>r</t>
    </r>
    <r>
      <rPr>
        <vertAlign val="subscript"/>
        <sz val="12"/>
        <color theme="1"/>
        <rFont val="Times New Roman"/>
        <family val="1"/>
        <charset val="204"/>
      </rPr>
      <t>n</t>
    </r>
  </si>
  <si>
    <r>
      <t>t</t>
    </r>
    <r>
      <rPr>
        <vertAlign val="subscript"/>
        <sz val="12"/>
        <color theme="1"/>
        <rFont val="Times New Roman"/>
        <family val="1"/>
        <charset val="204"/>
      </rPr>
      <t>n</t>
    </r>
  </si>
  <si>
    <r>
      <t>g</t>
    </r>
    <r>
      <rPr>
        <vertAlign val="subscript"/>
        <sz val="12"/>
        <color theme="1"/>
        <rFont val="Times New Roman"/>
        <family val="1"/>
        <charset val="204"/>
      </rPr>
      <t>n</t>
    </r>
  </si>
  <si>
    <r>
      <t>l</t>
    </r>
    <r>
      <rPr>
        <vertAlign val="subscript"/>
        <sz val="12"/>
        <color theme="1"/>
        <rFont val="Times New Roman"/>
        <family val="1"/>
        <charset val="204"/>
      </rPr>
      <t>n</t>
    </r>
  </si>
  <si>
    <r>
      <t xml:space="preserve"> </t>
    </r>
    <r>
      <rPr>
        <sz val="12"/>
        <color theme="1"/>
        <rFont val="Calibri"/>
        <family val="2"/>
        <charset val="204"/>
      </rPr>
      <t>α</t>
    </r>
    <r>
      <rPr>
        <vertAlign val="subscript"/>
        <sz val="12"/>
        <color theme="1"/>
        <rFont val="Times New Roman"/>
        <family val="1"/>
        <charset val="204"/>
      </rPr>
      <t>ij</t>
    </r>
  </si>
  <si>
    <r>
      <t xml:space="preserve"> </t>
    </r>
    <r>
      <rPr>
        <sz val="12"/>
        <color theme="1"/>
        <rFont val="Calibri"/>
        <family val="2"/>
        <charset val="204"/>
      </rPr>
      <t>β</t>
    </r>
    <r>
      <rPr>
        <vertAlign val="subscript"/>
        <sz val="12"/>
        <color theme="1"/>
        <rFont val="Times New Roman"/>
        <family val="1"/>
        <charset val="204"/>
      </rPr>
      <t>ij</t>
    </r>
  </si>
  <si>
    <t>Т, К</t>
  </si>
  <si>
    <t>Выходные данные</t>
  </si>
  <si>
    <t>Плотность СПГ кг/м3</t>
  </si>
  <si>
    <r>
      <t>Р</t>
    </r>
    <r>
      <rPr>
        <b/>
        <vertAlign val="subscript"/>
        <sz val="11"/>
        <color theme="1"/>
        <rFont val="Times New Roman"/>
        <family val="1"/>
        <charset val="204"/>
      </rPr>
      <t>изб</t>
    </r>
    <r>
      <rPr>
        <b/>
        <sz val="11"/>
        <color theme="1"/>
        <rFont val="Times New Roman"/>
        <family val="1"/>
        <charset val="204"/>
      </rPr>
      <t>, МПа</t>
    </r>
  </si>
  <si>
    <t>Компонентный состав</t>
  </si>
  <si>
    <t>№</t>
  </si>
  <si>
    <t xml:space="preserve">Таблица А.1 </t>
  </si>
  <si>
    <t>Таблица А.2</t>
  </si>
  <si>
    <t xml:space="preserve">Таблица А.2 в виде матрицы для  αij </t>
  </si>
  <si>
    <r>
      <t xml:space="preserve">Таблица А.2 в виде матрицы для  </t>
    </r>
    <r>
      <rPr>
        <sz val="11"/>
        <color theme="1"/>
        <rFont val="Calibri"/>
        <family val="2"/>
        <charset val="204"/>
      </rPr>
      <t>β</t>
    </r>
    <r>
      <rPr>
        <sz val="11"/>
        <color theme="1"/>
        <rFont val="Calibri"/>
        <family val="2"/>
        <charset val="204"/>
        <scheme val="minor"/>
      </rPr>
      <t xml:space="preserve">ij </t>
    </r>
  </si>
  <si>
    <t>i/j</t>
  </si>
  <si>
    <r>
      <t>Р</t>
    </r>
    <r>
      <rPr>
        <b/>
        <sz val="11"/>
        <color theme="1"/>
        <rFont val="Times New Roman"/>
        <family val="1"/>
        <charset val="204"/>
      </rPr>
      <t>, МПа</t>
    </r>
  </si>
  <si>
    <r>
      <t>М</t>
    </r>
    <r>
      <rPr>
        <b/>
        <vertAlign val="subscript"/>
        <sz val="12"/>
        <color theme="1"/>
        <rFont val="Times New Roman"/>
        <family val="1"/>
        <charset val="204"/>
      </rPr>
      <t>i</t>
    </r>
    <r>
      <rPr>
        <b/>
        <sz val="12"/>
        <color theme="1"/>
        <rFont val="Times New Roman"/>
        <family val="1"/>
        <charset val="204"/>
      </rPr>
      <t>, кг/кмоль</t>
    </r>
  </si>
  <si>
    <t>Ψ1</t>
  </si>
  <si>
    <t>Ψ2</t>
  </si>
  <si>
    <t>Ψ3</t>
  </si>
  <si>
    <t>Ψ4</t>
  </si>
  <si>
    <t>Ψ5</t>
  </si>
  <si>
    <t>Ψ6</t>
  </si>
  <si>
    <t>τ</t>
  </si>
  <si>
    <t>β</t>
  </si>
  <si>
    <t>ε</t>
  </si>
  <si>
    <t>α</t>
  </si>
  <si>
    <t>γ</t>
  </si>
  <si>
    <t>Хi, % (входные данные)</t>
  </si>
  <si>
    <r>
      <t>x</t>
    </r>
    <r>
      <rPr>
        <vertAlign val="subscript"/>
        <sz val="11"/>
        <color theme="1"/>
        <rFont val="Calibri"/>
        <family val="2"/>
        <charset val="204"/>
      </rPr>
      <t>n</t>
    </r>
    <r>
      <rPr>
        <sz val="11"/>
        <color theme="1"/>
        <rFont val="Calibri"/>
        <family val="2"/>
        <charset val="204"/>
      </rPr>
      <t>(&lt;37)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</si>
  <si>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>(&gt;36)</t>
    </r>
  </si>
  <si>
    <r>
      <t>ϕ</t>
    </r>
    <r>
      <rPr>
        <vertAlign val="subscript"/>
        <sz val="11"/>
        <color theme="1"/>
        <rFont val="Calibri"/>
        <family val="2"/>
        <charset val="204"/>
      </rPr>
      <t>n</t>
    </r>
    <r>
      <rPr>
        <sz val="11"/>
        <color theme="1"/>
        <rFont val="Calibri"/>
        <family val="2"/>
        <charset val="204"/>
      </rPr>
      <t>(&lt;37)</t>
    </r>
  </si>
  <si>
    <r>
      <t>ϕ</t>
    </r>
    <r>
      <rPr>
        <vertAlign val="subscript"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>(&gt;36)</t>
    </r>
  </si>
  <si>
    <t>Xτn(&lt;37)</t>
  </si>
  <si>
    <t>Yτn(&lt;37)</t>
  </si>
  <si>
    <t>Yτn(&gt;37)</t>
  </si>
  <si>
    <t>Yn(&lt;37)</t>
  </si>
  <si>
    <t>Yn(&gt;37)</t>
  </si>
  <si>
    <t>ω</t>
  </si>
  <si>
    <t>tn</t>
  </si>
  <si>
    <t>Xτn(&gt;36)</t>
  </si>
  <si>
    <r>
      <t xml:space="preserve">Плотность </t>
    </r>
    <r>
      <rPr>
        <b/>
        <sz val="11"/>
        <color theme="1"/>
        <rFont val="Calibri"/>
        <family val="2"/>
        <charset val="204"/>
      </rPr>
      <t>ρ, кг/м</t>
    </r>
    <r>
      <rPr>
        <b/>
        <vertAlign val="superscript"/>
        <sz val="11"/>
        <color theme="1"/>
        <rFont val="Calibri"/>
        <family val="2"/>
        <charset val="204"/>
      </rPr>
      <t>3</t>
    </r>
  </si>
  <si>
    <r>
      <t>δ</t>
    </r>
    <r>
      <rPr>
        <b/>
        <vertAlign val="subscript"/>
        <sz val="14"/>
        <color theme="1"/>
        <rFont val="Arial"/>
        <family val="2"/>
        <charset val="204"/>
      </rPr>
      <t>ρм</t>
    </r>
    <r>
      <rPr>
        <b/>
        <sz val="14"/>
        <color theme="1"/>
        <rFont val="Arial"/>
        <family val="2"/>
        <charset val="204"/>
      </rPr>
      <t>, %</t>
    </r>
  </si>
  <si>
    <r>
      <t>δ</t>
    </r>
    <r>
      <rPr>
        <b/>
        <vertAlign val="subscript"/>
        <sz val="14"/>
        <color theme="1"/>
        <rFont val="Arial"/>
        <family val="2"/>
        <charset val="204"/>
      </rPr>
      <t>zм, %</t>
    </r>
  </si>
  <si>
    <r>
      <t>δ</t>
    </r>
    <r>
      <rPr>
        <b/>
        <vertAlign val="subscript"/>
        <sz val="14"/>
        <color theme="1"/>
        <rFont val="Arial"/>
        <family val="2"/>
        <charset val="204"/>
      </rPr>
      <t>uм, %</t>
    </r>
  </si>
  <si>
    <r>
      <t>δ</t>
    </r>
    <r>
      <rPr>
        <b/>
        <vertAlign val="subscript"/>
        <sz val="14"/>
        <color theme="1"/>
        <rFont val="Arial"/>
        <family val="2"/>
        <charset val="204"/>
      </rPr>
      <t>kм, %</t>
    </r>
  </si>
  <si>
    <r>
      <t>δ</t>
    </r>
    <r>
      <rPr>
        <b/>
        <vertAlign val="subscript"/>
        <sz val="11"/>
        <color theme="1"/>
        <rFont val="Arial"/>
        <family val="2"/>
        <charset val="204"/>
      </rPr>
      <t>ρ</t>
    </r>
    <r>
      <rPr>
        <b/>
        <sz val="11"/>
        <color theme="1"/>
        <rFont val="Arial"/>
        <family val="2"/>
        <charset val="204"/>
      </rPr>
      <t>,%</t>
    </r>
  </si>
  <si>
    <r>
      <t>Х</t>
    </r>
    <r>
      <rPr>
        <b/>
        <vertAlign val="subscript"/>
        <sz val="12"/>
        <color theme="1"/>
        <rFont val="Times New Roman"/>
        <family val="1"/>
        <charset val="204"/>
      </rPr>
      <t>i</t>
    </r>
    <r>
      <rPr>
        <b/>
        <sz val="12"/>
        <color theme="1"/>
        <rFont val="Times New Roman"/>
        <family val="1"/>
        <charset val="204"/>
      </rPr>
      <t>, (в долях от единицы)</t>
    </r>
  </si>
  <si>
    <r>
      <t>δ</t>
    </r>
    <r>
      <rPr>
        <b/>
        <i/>
        <vertAlign val="subscript"/>
        <sz val="14"/>
        <color theme="1"/>
        <rFont val="Arial"/>
        <family val="2"/>
        <charset val="204"/>
      </rPr>
      <t>T</t>
    </r>
    <r>
      <rPr>
        <b/>
        <sz val="14"/>
        <color theme="1"/>
        <rFont val="Arial"/>
        <family val="2"/>
        <charset val="204"/>
      </rPr>
      <t>,%</t>
    </r>
  </si>
  <si>
    <r>
      <t>δ</t>
    </r>
    <r>
      <rPr>
        <b/>
        <i/>
        <vertAlign val="subscript"/>
        <sz val="14"/>
        <color theme="1"/>
        <rFont val="Arial"/>
        <family val="2"/>
        <charset val="204"/>
      </rPr>
      <t>P</t>
    </r>
    <r>
      <rPr>
        <b/>
        <sz val="14"/>
        <color theme="1"/>
        <rFont val="Arial"/>
        <family val="2"/>
        <charset val="204"/>
      </rPr>
      <t>,%</t>
    </r>
  </si>
  <si>
    <r>
      <t>δ</t>
    </r>
    <r>
      <rPr>
        <b/>
        <i/>
        <vertAlign val="subscript"/>
        <sz val="14"/>
        <color theme="1"/>
        <rFont val="Arial"/>
        <family val="2"/>
        <charset val="204"/>
      </rPr>
      <t>X</t>
    </r>
    <r>
      <rPr>
        <b/>
        <vertAlign val="subscript"/>
        <sz val="14"/>
        <color theme="1"/>
        <rFont val="Arial"/>
        <family val="2"/>
        <charset val="204"/>
      </rPr>
      <t>i</t>
    </r>
    <r>
      <rPr>
        <b/>
        <sz val="14"/>
        <color theme="1"/>
        <rFont val="Arial"/>
        <family val="2"/>
        <charset val="204"/>
      </rPr>
      <t>,%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</si>
</sst>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00"/>
    <numFmt numFmtId="167" formatCode="0.00000000000"/>
    <numFmt numFmtId="168" formatCode="0.0000000000"/>
    <numFmt numFmtId="169" formatCode="0.00000000"/>
    <numFmt numFmtId="170" formatCode="0.0000000"/>
    <numFmt numFmtId="171" formatCode="0.0000000000000"/>
  </numFmts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vertAlign val="subscript"/>
      <sz val="12"/>
      <color theme="1"/>
      <name val="Times New Roman"/>
      <family val="1"/>
      <charset val="204"/>
    </font>
    <font>
      <vertAlign val="subscript"/>
      <sz val="12"/>
      <color theme="1"/>
      <name val="Times New Roman"/>
      <family val="1"/>
      <charset val="204"/>
    </font>
    <font>
      <b/>
      <sz val="12"/>
      <color theme="1"/>
      <name val="Symbol"/>
      <family val="1"/>
      <charset val="2"/>
    </font>
    <font>
      <b/>
      <vertAlign val="superscript"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</font>
    <font>
      <b/>
      <vertAlign val="subscript"/>
      <sz val="11"/>
      <color theme="1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vertAlign val="superscript"/>
      <sz val="11"/>
      <color theme="1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4"/>
      <color theme="1"/>
      <name val="Arial"/>
      <family val="2"/>
      <charset val="204"/>
    </font>
    <font>
      <b/>
      <vertAlign val="subscript"/>
      <sz val="14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vertAlign val="subscript"/>
      <sz val="11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i/>
      <vertAlign val="subscript"/>
      <sz val="14"/>
      <color theme="1"/>
      <name val="Arial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 applyProtection="1"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3" fillId="0" borderId="2" xfId="0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168" fontId="4" fillId="0" borderId="1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170" fontId="4" fillId="0" borderId="2" xfId="0" applyNumberFormat="1" applyFont="1" applyBorder="1" applyAlignment="1">
      <alignment horizontal="center" vertical="center"/>
    </xf>
    <xf numFmtId="166" fontId="4" fillId="0" borderId="2" xfId="0" applyNumberFormat="1" applyFont="1" applyBorder="1" applyAlignment="1">
      <alignment horizontal="center" vertical="center"/>
    </xf>
    <xf numFmtId="169" fontId="4" fillId="0" borderId="2" xfId="0" applyNumberFormat="1" applyFont="1" applyBorder="1" applyAlignment="1">
      <alignment horizontal="center" vertical="center"/>
    </xf>
    <xf numFmtId="171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textRotation="90"/>
    </xf>
    <xf numFmtId="0" fontId="4" fillId="0" borderId="3" xfId="0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vertical="center"/>
    </xf>
    <xf numFmtId="169" fontId="4" fillId="0" borderId="1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2" xfId="0" applyNumberFormat="1" applyFont="1" applyBorder="1" applyAlignment="1">
      <alignment horizontal="left"/>
    </xf>
    <xf numFmtId="0" fontId="4" fillId="0" borderId="2" xfId="0" quotePrefix="1" applyNumberFormat="1" applyFont="1" applyBorder="1" applyAlignment="1">
      <alignment horizontal="left"/>
    </xf>
    <xf numFmtId="167" fontId="4" fillId="0" borderId="2" xfId="0" applyNumberFormat="1" applyFont="1" applyBorder="1" applyAlignment="1">
      <alignment horizontal="left"/>
    </xf>
    <xf numFmtId="168" fontId="4" fillId="0" borderId="2" xfId="0" applyNumberFormat="1" applyFont="1" applyBorder="1" applyAlignment="1">
      <alignment horizontal="left"/>
    </xf>
    <xf numFmtId="166" fontId="4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2" fillId="0" borderId="0" xfId="0" applyFont="1"/>
    <xf numFmtId="0" fontId="0" fillId="0" borderId="2" xfId="0" applyBorder="1"/>
    <xf numFmtId="0" fontId="2" fillId="0" borderId="2" xfId="0" applyFont="1" applyBorder="1"/>
    <xf numFmtId="0" fontId="3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4" fillId="0" borderId="2" xfId="0" applyFont="1" applyFill="1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/>
    </xf>
    <xf numFmtId="166" fontId="4" fillId="0" borderId="0" xfId="0" applyNumberFormat="1" applyFont="1" applyBorder="1" applyAlignment="1">
      <alignment horizontal="center"/>
    </xf>
    <xf numFmtId="49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3" fillId="0" borderId="7" xfId="0" applyFont="1" applyBorder="1" applyAlignment="1" applyProtection="1">
      <alignment horizontal="center"/>
      <protection locked="0"/>
    </xf>
    <xf numFmtId="0" fontId="4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9" xfId="0" applyBorder="1" applyProtection="1">
      <protection locked="0"/>
    </xf>
    <xf numFmtId="0" fontId="12" fillId="0" borderId="0" xfId="0" applyFont="1" applyFill="1" applyBorder="1"/>
    <xf numFmtId="0" fontId="4" fillId="0" borderId="0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/>
    <xf numFmtId="0" fontId="10" fillId="0" borderId="3" xfId="0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/>
    </xf>
    <xf numFmtId="0" fontId="0" fillId="7" borderId="0" xfId="0" applyFill="1"/>
    <xf numFmtId="0" fontId="14" fillId="5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8" borderId="2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3" fillId="6" borderId="2" xfId="0" applyFont="1" applyFill="1" applyBorder="1" applyAlignment="1" applyProtection="1">
      <alignment horizontal="center"/>
      <protection locked="0"/>
    </xf>
    <xf numFmtId="0" fontId="4" fillId="6" borderId="2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>
      <alignment horizontal="center"/>
    </xf>
    <xf numFmtId="0" fontId="19" fillId="5" borderId="2" xfId="0" applyFont="1" applyFill="1" applyBorder="1" applyAlignment="1">
      <alignment horizontal="center"/>
    </xf>
    <xf numFmtId="0" fontId="19" fillId="8" borderId="2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12" borderId="2" xfId="0" applyFont="1" applyFill="1" applyBorder="1" applyAlignment="1">
      <alignment horizontal="center"/>
    </xf>
    <xf numFmtId="0" fontId="20" fillId="9" borderId="2" xfId="0" applyFont="1" applyFill="1" applyBorder="1" applyAlignment="1">
      <alignment horizontal="center"/>
    </xf>
    <xf numFmtId="0" fontId="20" fillId="14" borderId="2" xfId="0" applyFont="1" applyFill="1" applyBorder="1" applyAlignment="1">
      <alignment horizontal="center"/>
    </xf>
    <xf numFmtId="0" fontId="20" fillId="11" borderId="2" xfId="0" applyFont="1" applyFill="1" applyBorder="1" applyAlignment="1">
      <alignment horizontal="center"/>
    </xf>
    <xf numFmtId="0" fontId="20" fillId="10" borderId="2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4" fillId="13" borderId="2" xfId="0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0" fontId="22" fillId="8" borderId="2" xfId="0" applyFont="1" applyFill="1" applyBorder="1" applyAlignment="1">
      <alignment horizontal="center"/>
    </xf>
    <xf numFmtId="0" fontId="24" fillId="6" borderId="2" xfId="0" applyFont="1" applyFill="1" applyBorder="1" applyAlignment="1" applyProtection="1">
      <alignment horizontal="center"/>
      <protection locked="0"/>
    </xf>
    <xf numFmtId="0" fontId="4" fillId="0" borderId="2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top"/>
    </xf>
    <xf numFmtId="0" fontId="4" fillId="0" borderId="2" xfId="0" applyFont="1" applyBorder="1" applyAlignment="1">
      <alignment horizontal="left" vertical="top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  <color rgb="FFFFFFCC"/>
      <color rgb="FFF0EE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504825</xdr:colOff>
      <xdr:row>72</xdr:row>
      <xdr:rowOff>47625</xdr:rowOff>
    </xdr:from>
    <xdr:to>
      <xdr:col>8</xdr:col>
      <xdr:colOff>717177</xdr:colOff>
      <xdr:row>73</xdr:row>
      <xdr:rowOff>9525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0650" y="285750"/>
          <a:ext cx="59436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95250</xdr:colOff>
      <xdr:row>73</xdr:row>
      <xdr:rowOff>66675</xdr:rowOff>
    </xdr:from>
    <xdr:to>
      <xdr:col>1</xdr:col>
      <xdr:colOff>238125</xdr:colOff>
      <xdr:row>73</xdr:row>
      <xdr:rowOff>295275</xdr:rowOff>
    </xdr:to>
    <xdr:pic>
      <xdr:nvPicPr>
        <xdr:cNvPr id="6" name="Рисунок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676275"/>
          <a:ext cx="1428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30256</xdr:colOff>
      <xdr:row>81</xdr:row>
      <xdr:rowOff>155202</xdr:rowOff>
    </xdr:from>
    <xdr:to>
      <xdr:col>5</xdr:col>
      <xdr:colOff>957543</xdr:colOff>
      <xdr:row>82</xdr:row>
      <xdr:rowOff>145676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2903" y="16739908"/>
          <a:ext cx="4120964" cy="192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504825</xdr:colOff>
      <xdr:row>97</xdr:row>
      <xdr:rowOff>47625</xdr:rowOff>
    </xdr:from>
    <xdr:to>
      <xdr:col>8</xdr:col>
      <xdr:colOff>745752</xdr:colOff>
      <xdr:row>97</xdr:row>
      <xdr:rowOff>190500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13735050"/>
          <a:ext cx="1323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95250</xdr:colOff>
      <xdr:row>98</xdr:row>
      <xdr:rowOff>66675</xdr:rowOff>
    </xdr:from>
    <xdr:to>
      <xdr:col>1</xdr:col>
      <xdr:colOff>238125</xdr:colOff>
      <xdr:row>98</xdr:row>
      <xdr:rowOff>295275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3954125"/>
          <a:ext cx="1428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1724025</xdr:colOff>
      <xdr:row>109</xdr:row>
      <xdr:rowOff>9525</xdr:rowOff>
    </xdr:from>
    <xdr:to>
      <xdr:col>6</xdr:col>
      <xdr:colOff>123825</xdr:colOff>
      <xdr:row>109</xdr:row>
      <xdr:rowOff>190500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678275"/>
          <a:ext cx="18288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47625</xdr:rowOff>
    </xdr:from>
    <xdr:to>
      <xdr:col>1</xdr:col>
      <xdr:colOff>66675</xdr:colOff>
      <xdr:row>38</xdr:row>
      <xdr:rowOff>9525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9800" y="14535150"/>
          <a:ext cx="2905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9525</xdr:rowOff>
    </xdr:from>
    <xdr:to>
      <xdr:col>1</xdr:col>
      <xdr:colOff>571500</xdr:colOff>
      <xdr:row>50</xdr:row>
      <xdr:rowOff>0</xdr:rowOff>
    </xdr:to>
    <xdr:pic>
      <xdr:nvPicPr>
        <xdr:cNvPr id="4" name="Рисунок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17478375"/>
          <a:ext cx="41243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504825</xdr:colOff>
      <xdr:row>42</xdr:row>
      <xdr:rowOff>0</xdr:rowOff>
    </xdr:from>
    <xdr:to>
      <xdr:col>7</xdr:col>
      <xdr:colOff>1213037</xdr:colOff>
      <xdr:row>42</xdr:row>
      <xdr:rowOff>154081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19650075"/>
          <a:ext cx="2936502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95250</xdr:colOff>
      <xdr:row>12</xdr:row>
      <xdr:rowOff>66675</xdr:rowOff>
    </xdr:from>
    <xdr:to>
      <xdr:col>1</xdr:col>
      <xdr:colOff>238125</xdr:colOff>
      <xdr:row>12</xdr:row>
      <xdr:rowOff>295275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19869150"/>
          <a:ext cx="1428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130"/>
  <sheetViews>
    <sheetView zoomScale="85" zoomScaleNormal="85" workbookViewId="0">
      <selection activeCell="A20" sqref="A20"/>
    </sheetView>
  </sheetViews>
  <sheetFormatPr defaultRowHeight="15" x14ac:dyDescent="0.25"/>
  <cols>
    <col min="1" max="1" width="20.5703125" customWidth="1"/>
    <col min="2" max="2" width="31.85546875" customWidth="1"/>
    <col min="3" max="3" width="23.140625" customWidth="1"/>
    <col min="4" max="4" width="28.42578125" customWidth="1"/>
    <col min="5" max="5" width="19.5703125" customWidth="1"/>
    <col min="6" max="6" width="14.42578125" customWidth="1"/>
    <col min="7" max="7" width="21.28515625" customWidth="1"/>
    <col min="8" max="8" width="19.140625" customWidth="1"/>
    <col min="9" max="9" width="11.28515625" customWidth="1"/>
    <col min="10" max="10" width="15.7109375" customWidth="1"/>
    <col min="11" max="11" width="11" customWidth="1"/>
    <col min="12" max="12" width="9.140625" customWidth="1"/>
    <col min="13" max="13" width="11.7109375" customWidth="1"/>
    <col min="14" max="14" width="10.140625" customWidth="1"/>
    <col min="16" max="16" width="19.5703125" customWidth="1"/>
    <col min="17" max="17" width="4.28515625" customWidth="1"/>
    <col min="18" max="18" width="18.85546875" customWidth="1"/>
    <col min="19" max="19" width="13.140625" customWidth="1"/>
    <col min="25" max="25" width="13.7109375" customWidth="1"/>
    <col min="26" max="26" width="8.28515625" customWidth="1"/>
    <col min="27" max="27" width="10.85546875" customWidth="1"/>
  </cols>
  <sheetData>
    <row r="1" spans="1:17" ht="15.75" x14ac:dyDescent="0.25">
      <c r="A1" s="47"/>
      <c r="B1" s="47"/>
      <c r="C1" s="47"/>
      <c r="D1" s="57"/>
      <c r="E1" s="47"/>
      <c r="F1" s="47"/>
      <c r="G1" s="47"/>
      <c r="H1" s="1"/>
      <c r="I1" s="1"/>
      <c r="J1" s="57"/>
      <c r="K1" s="47"/>
      <c r="L1" s="47"/>
      <c r="M1" s="47"/>
      <c r="N1" s="47"/>
      <c r="O1" s="47"/>
      <c r="P1" s="47"/>
      <c r="Q1" s="55"/>
    </row>
    <row r="2" spans="1:17" ht="15.75" x14ac:dyDescent="0.25">
      <c r="B2" s="44"/>
      <c r="C2" s="48"/>
      <c r="D2" s="94"/>
      <c r="E2" s="49"/>
      <c r="F2" s="49"/>
      <c r="G2" s="49"/>
      <c r="H2" s="1"/>
      <c r="I2" s="1"/>
      <c r="J2" s="54"/>
      <c r="K2" s="48"/>
      <c r="L2" s="48"/>
      <c r="M2" s="49"/>
      <c r="N2" s="49"/>
      <c r="O2" s="49"/>
      <c r="P2" s="49"/>
      <c r="Q2" s="55"/>
    </row>
    <row r="3" spans="1:17" ht="21" x14ac:dyDescent="0.35">
      <c r="A3" s="4" t="s">
        <v>0</v>
      </c>
      <c r="B3" s="4" t="s">
        <v>75</v>
      </c>
      <c r="C3" s="103" t="s">
        <v>78</v>
      </c>
      <c r="D3" s="94"/>
      <c r="E3" s="49"/>
      <c r="F3" s="49"/>
      <c r="G3" s="49"/>
      <c r="H3" s="1"/>
      <c r="I3" s="1"/>
      <c r="J3" s="54"/>
      <c r="K3" s="48"/>
      <c r="L3" s="48"/>
      <c r="M3" s="49"/>
      <c r="N3" s="49"/>
      <c r="O3" s="49"/>
      <c r="P3" s="49"/>
      <c r="Q3" s="55"/>
    </row>
    <row r="4" spans="1:17" ht="15.75" x14ac:dyDescent="0.25">
      <c r="A4" s="104" t="s">
        <v>5</v>
      </c>
      <c r="B4" s="105">
        <v>0.95501000000000003</v>
      </c>
      <c r="C4" s="36">
        <v>0</v>
      </c>
      <c r="D4" s="73"/>
      <c r="E4" s="49"/>
      <c r="F4" s="49"/>
      <c r="G4" s="49"/>
      <c r="H4" s="1"/>
      <c r="I4" s="1"/>
      <c r="J4" s="54"/>
      <c r="K4" s="48"/>
      <c r="L4" s="48"/>
      <c r="M4" s="49"/>
      <c r="N4" s="49"/>
      <c r="O4" s="49"/>
      <c r="P4" s="49"/>
      <c r="Q4" s="55"/>
    </row>
    <row r="5" spans="1:17" ht="15.75" x14ac:dyDescent="0.25">
      <c r="A5" s="104" t="s">
        <v>6</v>
      </c>
      <c r="B5" s="105">
        <v>2.3010000000000003E-2</v>
      </c>
      <c r="C5" s="36">
        <v>0</v>
      </c>
      <c r="D5" s="73"/>
      <c r="E5" s="47"/>
      <c r="F5" s="47"/>
      <c r="G5" s="47"/>
      <c r="H5" s="56"/>
      <c r="I5" s="56"/>
      <c r="J5" s="54"/>
      <c r="K5" s="48"/>
      <c r="L5" s="48"/>
      <c r="M5" s="49"/>
      <c r="N5" s="49"/>
      <c r="O5" s="50"/>
      <c r="P5" s="49"/>
      <c r="Q5" s="55"/>
    </row>
    <row r="6" spans="1:17" ht="15.75" x14ac:dyDescent="0.25">
      <c r="A6" s="104" t="s">
        <v>7</v>
      </c>
      <c r="B6" s="105">
        <v>2.9099999999999998E-3</v>
      </c>
      <c r="C6" s="36">
        <v>0</v>
      </c>
      <c r="D6" s="73"/>
      <c r="E6" s="49"/>
      <c r="F6" s="49"/>
      <c r="G6" s="49"/>
      <c r="H6" s="56"/>
      <c r="I6" s="56"/>
      <c r="J6" s="54"/>
      <c r="K6" s="48"/>
      <c r="L6" s="48"/>
      <c r="M6" s="49"/>
      <c r="N6" s="49"/>
      <c r="O6" s="51"/>
      <c r="P6" s="49"/>
      <c r="Q6" s="55"/>
    </row>
    <row r="7" spans="1:17" ht="15.75" x14ac:dyDescent="0.25">
      <c r="A7" s="104" t="s">
        <v>8</v>
      </c>
      <c r="B7" s="105">
        <v>3.7999999999999997E-4</v>
      </c>
      <c r="C7" s="36">
        <v>0</v>
      </c>
      <c r="D7" s="73"/>
      <c r="E7" s="49"/>
      <c r="F7" s="49"/>
      <c r="G7" s="49"/>
      <c r="H7" s="56"/>
      <c r="I7" s="56"/>
      <c r="J7" s="54"/>
      <c r="K7" s="48"/>
      <c r="L7" s="48"/>
      <c r="M7" s="49"/>
      <c r="N7" s="49"/>
      <c r="O7" s="51"/>
      <c r="P7" s="49"/>
      <c r="Q7" s="55"/>
    </row>
    <row r="8" spans="1:17" ht="15.75" x14ac:dyDescent="0.25">
      <c r="A8" s="104" t="s">
        <v>1</v>
      </c>
      <c r="B8" s="105">
        <v>6.3000000000000003E-4</v>
      </c>
      <c r="C8" s="36">
        <v>0</v>
      </c>
      <c r="D8" s="73"/>
      <c r="E8" s="49"/>
      <c r="F8" s="49"/>
      <c r="G8" s="49"/>
      <c r="H8" s="56"/>
      <c r="I8" s="56"/>
      <c r="J8" s="54"/>
      <c r="K8" s="48"/>
      <c r="L8" s="48"/>
      <c r="M8" s="49"/>
      <c r="N8" s="49"/>
      <c r="O8" s="51"/>
      <c r="P8" s="49"/>
      <c r="Q8" s="55"/>
    </row>
    <row r="9" spans="1:17" ht="15.75" x14ac:dyDescent="0.25">
      <c r="A9" s="104" t="s">
        <v>2</v>
      </c>
      <c r="B9" s="105">
        <v>1.2E-4</v>
      </c>
      <c r="C9" s="36">
        <v>0</v>
      </c>
      <c r="D9" s="73"/>
      <c r="E9" s="49"/>
      <c r="F9" s="50"/>
      <c r="G9" s="49"/>
      <c r="H9" s="56"/>
      <c r="I9" s="56"/>
      <c r="J9" s="54"/>
      <c r="K9" s="48"/>
      <c r="L9" s="48"/>
      <c r="M9" s="49"/>
      <c r="N9" s="49"/>
      <c r="O9" s="49"/>
      <c r="P9" s="52"/>
      <c r="Q9" s="55"/>
    </row>
    <row r="10" spans="1:17" ht="15.75" x14ac:dyDescent="0.25">
      <c r="A10" s="104" t="s">
        <v>9</v>
      </c>
      <c r="B10" s="105">
        <v>8.8999999999999995E-4</v>
      </c>
      <c r="C10" s="36">
        <v>0</v>
      </c>
      <c r="D10" s="73"/>
      <c r="E10" s="49"/>
      <c r="F10" s="51"/>
      <c r="G10" s="49"/>
      <c r="H10" s="56"/>
      <c r="I10" s="56"/>
      <c r="J10" s="54"/>
      <c r="K10" s="48"/>
      <c r="L10" s="53"/>
      <c r="M10" s="49"/>
      <c r="N10" s="49"/>
      <c r="O10" s="49"/>
      <c r="P10" s="49"/>
      <c r="Q10" s="55"/>
    </row>
    <row r="11" spans="1:17" ht="15.75" x14ac:dyDescent="0.25">
      <c r="A11" s="104" t="s">
        <v>3</v>
      </c>
      <c r="B11" s="105">
        <v>1.7010000000000001E-2</v>
      </c>
      <c r="C11" s="36">
        <v>0</v>
      </c>
      <c r="D11" s="73"/>
      <c r="E11" s="49"/>
      <c r="F11" s="51"/>
      <c r="G11" s="49"/>
      <c r="H11" s="56"/>
      <c r="I11" s="56"/>
      <c r="J11" s="58"/>
      <c r="K11" s="56"/>
      <c r="L11" s="55"/>
      <c r="M11" s="55"/>
      <c r="N11" s="55"/>
      <c r="O11" s="55"/>
      <c r="P11" s="55"/>
      <c r="Q11" s="55"/>
    </row>
    <row r="12" spans="1:17" ht="15.75" x14ac:dyDescent="0.25">
      <c r="A12" s="104" t="s">
        <v>4</v>
      </c>
      <c r="B12" s="105">
        <v>4.0000000000000003E-5</v>
      </c>
      <c r="C12" s="36">
        <v>0</v>
      </c>
      <c r="D12" s="73"/>
      <c r="E12" s="49"/>
      <c r="F12" s="51"/>
      <c r="G12" s="49"/>
      <c r="H12" s="56"/>
      <c r="I12" s="56"/>
      <c r="J12" s="56"/>
      <c r="K12" s="56"/>
    </row>
    <row r="13" spans="1:17" ht="15.75" x14ac:dyDescent="0.25">
      <c r="B13" s="48"/>
      <c r="C13" s="48"/>
      <c r="D13" s="49"/>
      <c r="E13" s="49"/>
      <c r="F13" s="49"/>
      <c r="G13" s="52"/>
      <c r="H13" s="56"/>
      <c r="I13" s="56"/>
      <c r="J13" s="56"/>
      <c r="K13" s="56"/>
    </row>
    <row r="14" spans="1:17" ht="15.75" x14ac:dyDescent="0.25">
      <c r="C14" s="53"/>
      <c r="D14" s="49"/>
      <c r="E14" s="49"/>
      <c r="F14" s="49"/>
      <c r="G14" s="49"/>
      <c r="H14" s="56"/>
      <c r="I14" s="56"/>
      <c r="J14" s="56"/>
      <c r="K14" s="56"/>
    </row>
    <row r="15" spans="1:17" x14ac:dyDescent="0.25">
      <c r="A15" s="35" t="s">
        <v>32</v>
      </c>
      <c r="B15" s="35" t="s">
        <v>43</v>
      </c>
      <c r="C15" s="56"/>
      <c r="D15" s="56"/>
      <c r="E15" s="56"/>
      <c r="F15" s="56"/>
      <c r="G15" s="56"/>
      <c r="H15" s="56"/>
      <c r="I15" s="56"/>
      <c r="J15" s="56"/>
      <c r="K15" s="56"/>
    </row>
    <row r="16" spans="1:17" ht="15.75" x14ac:dyDescent="0.25">
      <c r="A16" s="37">
        <v>140</v>
      </c>
      <c r="B16" s="38">
        <v>4.0999999999999996</v>
      </c>
      <c r="C16" s="60"/>
      <c r="D16" s="60"/>
      <c r="E16" s="56"/>
      <c r="F16" s="56"/>
      <c r="G16" s="56"/>
      <c r="H16" s="56"/>
      <c r="I16" s="56"/>
      <c r="J16" s="56"/>
      <c r="K16" s="56"/>
    </row>
    <row r="17" spans="1:11" ht="15.75" x14ac:dyDescent="0.25">
      <c r="A17" s="60"/>
      <c r="B17" s="60"/>
      <c r="C17" s="60"/>
      <c r="D17" s="60"/>
      <c r="E17" s="56"/>
      <c r="F17" s="56"/>
      <c r="G17" s="56"/>
      <c r="H17" s="56"/>
      <c r="I17" s="56"/>
      <c r="J17" s="56"/>
      <c r="K17" s="56"/>
    </row>
    <row r="18" spans="1:11" ht="20.25" x14ac:dyDescent="0.35">
      <c r="A18" s="103" t="s">
        <v>76</v>
      </c>
      <c r="B18" s="103" t="s">
        <v>77</v>
      </c>
      <c r="C18" s="60"/>
      <c r="D18" s="60"/>
      <c r="E18" s="56"/>
      <c r="F18" s="56"/>
      <c r="G18" s="56"/>
      <c r="H18" s="56"/>
      <c r="I18" s="56"/>
      <c r="J18" s="56"/>
      <c r="K18" s="56"/>
    </row>
    <row r="19" spans="1:11" ht="15.75" x14ac:dyDescent="0.25">
      <c r="A19" s="37">
        <v>5</v>
      </c>
      <c r="B19" s="38">
        <v>5</v>
      </c>
      <c r="C19" s="49"/>
      <c r="D19" s="49"/>
      <c r="E19" s="56"/>
      <c r="F19" s="56"/>
      <c r="G19" s="56"/>
      <c r="H19" s="56"/>
      <c r="I19" s="56"/>
      <c r="J19" s="56"/>
      <c r="K19" s="56"/>
    </row>
    <row r="20" spans="1:11" ht="15.75" x14ac:dyDescent="0.25">
      <c r="A20" s="61"/>
      <c r="B20" s="61"/>
      <c r="C20" s="49"/>
      <c r="D20" s="49"/>
      <c r="E20" s="56"/>
      <c r="F20" s="56"/>
      <c r="G20" s="56"/>
      <c r="H20" s="56"/>
      <c r="I20" s="56"/>
      <c r="J20" s="56"/>
      <c r="K20" s="56"/>
    </row>
    <row r="21" spans="1:11" ht="15.75" x14ac:dyDescent="0.25">
      <c r="A21" s="61"/>
      <c r="B21" s="61"/>
      <c r="C21" s="49"/>
      <c r="D21" s="49"/>
      <c r="E21" s="56"/>
      <c r="F21" s="56"/>
      <c r="G21" s="56"/>
      <c r="H21" s="56"/>
      <c r="I21" s="56"/>
      <c r="J21" s="56"/>
      <c r="K21" s="56"/>
    </row>
    <row r="22" spans="1:11" ht="21" x14ac:dyDescent="0.35">
      <c r="A22" s="99" t="s">
        <v>70</v>
      </c>
      <c r="B22" s="100" t="s">
        <v>71</v>
      </c>
      <c r="C22" s="101" t="s">
        <v>72</v>
      </c>
      <c r="D22" s="102" t="s">
        <v>73</v>
      </c>
      <c r="E22" s="56"/>
      <c r="F22" s="56"/>
      <c r="G22" s="56"/>
      <c r="H22" s="56"/>
      <c r="I22" s="56"/>
      <c r="J22" s="56"/>
      <c r="K22" s="56"/>
    </row>
    <row r="23" spans="1:11" ht="18.75" x14ac:dyDescent="0.3">
      <c r="A23" s="95">
        <v>0.3</v>
      </c>
      <c r="B23" s="97">
        <v>0.3</v>
      </c>
      <c r="C23" s="98">
        <v>2.1</v>
      </c>
      <c r="D23" s="96">
        <v>4.5</v>
      </c>
      <c r="E23" s="56"/>
      <c r="F23" s="56"/>
      <c r="G23" s="56"/>
      <c r="H23" s="56"/>
      <c r="I23" s="56"/>
      <c r="J23" s="56"/>
      <c r="K23" s="56"/>
    </row>
    <row r="24" spans="1:11" ht="15.75" x14ac:dyDescent="0.25">
      <c r="A24" s="61"/>
      <c r="B24" s="61"/>
      <c r="C24" s="62"/>
      <c r="D24" s="49"/>
      <c r="E24" s="56"/>
      <c r="F24" s="56"/>
      <c r="G24" s="56"/>
      <c r="H24" s="56"/>
      <c r="I24" s="56"/>
      <c r="J24" s="56"/>
      <c r="K24" s="56"/>
    </row>
    <row r="25" spans="1:11" ht="15.75" x14ac:dyDescent="0.25">
      <c r="A25" s="61"/>
      <c r="B25" s="61"/>
      <c r="C25" s="49"/>
      <c r="D25" s="49"/>
      <c r="E25" s="56"/>
      <c r="F25" s="56"/>
      <c r="G25" s="56"/>
      <c r="H25" s="56"/>
      <c r="I25" s="56"/>
      <c r="J25" s="56"/>
      <c r="K25" s="56"/>
    </row>
    <row r="26" spans="1:11" x14ac:dyDescent="0.25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</row>
    <row r="27" spans="1:11" x14ac:dyDescent="0.25">
      <c r="A27" s="56"/>
      <c r="B27" s="56"/>
      <c r="C27" s="56"/>
      <c r="D27" s="56"/>
      <c r="E27" s="56"/>
      <c r="F27" s="56"/>
      <c r="G27" s="56"/>
      <c r="H27" s="56"/>
      <c r="I27" s="56"/>
      <c r="J27" s="56"/>
      <c r="K27" s="56"/>
    </row>
    <row r="28" spans="1:11" x14ac:dyDescent="0.25">
      <c r="A28" s="56"/>
      <c r="B28" s="56"/>
      <c r="C28" s="56"/>
      <c r="D28" s="56"/>
      <c r="E28" s="56"/>
      <c r="F28" s="56"/>
      <c r="G28" s="56"/>
      <c r="H28" s="56"/>
      <c r="I28" s="56"/>
      <c r="J28" s="55"/>
      <c r="K28" s="55"/>
    </row>
    <row r="29" spans="1:11" ht="15.75" x14ac:dyDescent="0.25">
      <c r="A29" s="60" t="s">
        <v>38</v>
      </c>
      <c r="B29" s="63"/>
      <c r="C29" s="60"/>
      <c r="D29" s="60"/>
      <c r="E29" s="60"/>
      <c r="F29" s="60"/>
      <c r="G29" s="60"/>
      <c r="H29" s="60"/>
      <c r="I29" s="64"/>
      <c r="J29" s="64"/>
      <c r="K29" s="55"/>
    </row>
    <row r="30" spans="1:11" ht="19.5" x14ac:dyDescent="0.3">
      <c r="A30" s="4" t="s">
        <v>0</v>
      </c>
      <c r="B30" s="4" t="s">
        <v>44</v>
      </c>
      <c r="C30" s="4" t="s">
        <v>11</v>
      </c>
      <c r="D30" s="4" t="s">
        <v>12</v>
      </c>
      <c r="E30" s="40" t="s">
        <v>10</v>
      </c>
      <c r="F30" s="67"/>
      <c r="G30" s="47"/>
      <c r="H30" s="1"/>
      <c r="I30" s="1"/>
      <c r="J30" s="54"/>
      <c r="K30" s="48"/>
    </row>
    <row r="31" spans="1:11" ht="15.75" x14ac:dyDescent="0.25">
      <c r="A31" s="59" t="s">
        <v>5</v>
      </c>
      <c r="B31" s="5">
        <v>16.0428</v>
      </c>
      <c r="C31" s="5">
        <v>190.56399999999999</v>
      </c>
      <c r="D31" s="5">
        <v>162.66</v>
      </c>
      <c r="E31" s="65">
        <v>8.0000000000000002E-3</v>
      </c>
      <c r="F31" s="68"/>
      <c r="G31" s="49"/>
      <c r="H31" s="1"/>
      <c r="I31" s="1"/>
      <c r="J31" s="54"/>
      <c r="K31" s="48"/>
    </row>
    <row r="32" spans="1:11" ht="15.75" x14ac:dyDescent="0.25">
      <c r="A32" s="59" t="s">
        <v>6</v>
      </c>
      <c r="B32" s="5">
        <v>30.069040000000001</v>
      </c>
      <c r="C32" s="5">
        <v>305.322</v>
      </c>
      <c r="D32" s="5">
        <v>206.18</v>
      </c>
      <c r="E32" s="65">
        <v>9.8000000000000004E-2</v>
      </c>
      <c r="F32" s="68"/>
      <c r="G32" s="49"/>
      <c r="H32" s="1"/>
      <c r="I32" s="1"/>
      <c r="J32" s="54"/>
      <c r="K32" s="48"/>
    </row>
    <row r="33" spans="1:27" ht="15.75" x14ac:dyDescent="0.25">
      <c r="A33" s="59" t="s">
        <v>7</v>
      </c>
      <c r="B33" s="5">
        <v>44.095619999999997</v>
      </c>
      <c r="C33" s="5">
        <v>369.89</v>
      </c>
      <c r="D33" s="5">
        <v>220.47810000000001</v>
      </c>
      <c r="E33" s="65">
        <v>0.152</v>
      </c>
      <c r="F33" s="68"/>
      <c r="G33" s="49"/>
      <c r="H33" s="1"/>
      <c r="I33" s="1"/>
      <c r="J33" s="54"/>
      <c r="K33" s="48"/>
    </row>
    <row r="34" spans="1:27" ht="15.75" x14ac:dyDescent="0.25">
      <c r="A34" s="59" t="s">
        <v>8</v>
      </c>
      <c r="B34" s="5">
        <v>58.122199999999999</v>
      </c>
      <c r="C34" s="5">
        <v>407.81</v>
      </c>
      <c r="D34" s="6">
        <v>225.5</v>
      </c>
      <c r="E34" s="65">
        <v>0.17599999999999999</v>
      </c>
      <c r="F34" s="68"/>
      <c r="G34" s="49"/>
      <c r="H34" s="1"/>
      <c r="I34" s="1"/>
      <c r="J34" s="54"/>
      <c r="K34" s="48"/>
    </row>
    <row r="35" spans="1:27" ht="15.75" x14ac:dyDescent="0.25">
      <c r="A35" s="59" t="s">
        <v>1</v>
      </c>
      <c r="B35" s="5">
        <v>58.122199999999999</v>
      </c>
      <c r="C35" s="5">
        <v>425.125</v>
      </c>
      <c r="D35" s="7">
        <v>228</v>
      </c>
      <c r="E35" s="65">
        <v>0.193</v>
      </c>
      <c r="F35" s="68"/>
      <c r="G35" s="49"/>
      <c r="H35" s="1"/>
      <c r="I35" s="1"/>
      <c r="J35" s="54"/>
      <c r="K35" s="48"/>
    </row>
    <row r="36" spans="1:27" ht="15.75" x14ac:dyDescent="0.25">
      <c r="A36" s="59" t="s">
        <v>2</v>
      </c>
      <c r="B36" s="5">
        <v>72.150300000000001</v>
      </c>
      <c r="C36" s="5">
        <v>460.39</v>
      </c>
      <c r="D36" s="7">
        <v>236</v>
      </c>
      <c r="E36" s="65">
        <v>0.22700000000000001</v>
      </c>
      <c r="F36" s="68"/>
      <c r="G36" s="49"/>
      <c r="H36" s="1"/>
      <c r="I36" s="1"/>
      <c r="J36" s="58"/>
      <c r="K36" s="56"/>
    </row>
    <row r="37" spans="1:27" ht="15.75" x14ac:dyDescent="0.25">
      <c r="A37" s="59" t="s">
        <v>9</v>
      </c>
      <c r="B37" s="5">
        <v>72.150300000000001</v>
      </c>
      <c r="C37" s="5">
        <v>469.65</v>
      </c>
      <c r="D37" s="7">
        <v>232</v>
      </c>
      <c r="E37" s="65">
        <v>0.251</v>
      </c>
      <c r="F37" s="68"/>
      <c r="G37" s="49"/>
      <c r="H37" s="1"/>
      <c r="I37" s="1"/>
      <c r="J37" s="1"/>
      <c r="K37" s="1"/>
    </row>
    <row r="38" spans="1:27" ht="15.75" x14ac:dyDescent="0.25">
      <c r="A38" s="59" t="s">
        <v>3</v>
      </c>
      <c r="B38" s="5">
        <v>28.013480000000001</v>
      </c>
      <c r="C38" s="5">
        <v>126.19199999999999</v>
      </c>
      <c r="D38" s="5">
        <v>313.3</v>
      </c>
      <c r="E38" s="66">
        <v>0.04</v>
      </c>
      <c r="F38" s="69"/>
      <c r="G38" s="52"/>
      <c r="H38" s="1"/>
      <c r="I38" s="1"/>
      <c r="J38" s="1"/>
      <c r="K38" s="1"/>
    </row>
    <row r="39" spans="1:27" ht="15.75" x14ac:dyDescent="0.25">
      <c r="A39" s="59" t="s">
        <v>4</v>
      </c>
      <c r="B39" s="5">
        <v>44.009799999999998</v>
      </c>
      <c r="C39" s="5">
        <v>304.12819999999999</v>
      </c>
      <c r="D39" s="5">
        <v>467.6</v>
      </c>
      <c r="E39" s="70">
        <v>0.22500000000000001</v>
      </c>
      <c r="F39" s="68"/>
      <c r="G39" s="49"/>
      <c r="H39" s="1"/>
      <c r="I39" s="1"/>
      <c r="J39" s="1"/>
      <c r="K39" s="1"/>
    </row>
    <row r="40" spans="1:27" x14ac:dyDescent="0.25">
      <c r="A40" s="1"/>
      <c r="B40" s="1"/>
      <c r="C40" s="1"/>
      <c r="D40" s="1"/>
      <c r="E40" s="71"/>
      <c r="F40" s="56"/>
      <c r="G40" s="1" t="s">
        <v>40</v>
      </c>
      <c r="H40" s="1"/>
      <c r="I40" s="1"/>
      <c r="J40" s="1"/>
      <c r="K40" s="1"/>
      <c r="R40" s="1" t="s">
        <v>41</v>
      </c>
    </row>
    <row r="41" spans="1:27" ht="15.75" x14ac:dyDescent="0.25">
      <c r="A41" s="1" t="s">
        <v>39</v>
      </c>
      <c r="B41" s="1"/>
      <c r="C41" s="1"/>
      <c r="D41" s="1"/>
      <c r="E41" s="1"/>
      <c r="F41" s="1"/>
      <c r="G41" s="77" t="s">
        <v>42</v>
      </c>
      <c r="H41" s="59" t="s">
        <v>5</v>
      </c>
      <c r="I41" s="59" t="s">
        <v>6</v>
      </c>
      <c r="J41" s="59" t="s">
        <v>7</v>
      </c>
      <c r="K41" s="59" t="s">
        <v>8</v>
      </c>
      <c r="L41" s="59" t="s">
        <v>1</v>
      </c>
      <c r="M41" s="59" t="s">
        <v>2</v>
      </c>
      <c r="N41" s="59" t="s">
        <v>9</v>
      </c>
      <c r="O41" s="59" t="s">
        <v>3</v>
      </c>
      <c r="P41" s="59" t="s">
        <v>4</v>
      </c>
      <c r="R41" s="77" t="s">
        <v>42</v>
      </c>
      <c r="S41" s="59" t="s">
        <v>5</v>
      </c>
      <c r="T41" s="59" t="s">
        <v>6</v>
      </c>
      <c r="U41" s="59" t="s">
        <v>7</v>
      </c>
      <c r="V41" s="59" t="s">
        <v>8</v>
      </c>
      <c r="W41" s="59" t="s">
        <v>1</v>
      </c>
      <c r="X41" s="59" t="s">
        <v>2</v>
      </c>
      <c r="Y41" s="59" t="s">
        <v>9</v>
      </c>
      <c r="Z41" s="59" t="s">
        <v>3</v>
      </c>
      <c r="AA41" s="59" t="s">
        <v>4</v>
      </c>
    </row>
    <row r="42" spans="1:27" ht="15.75" x14ac:dyDescent="0.25">
      <c r="A42" s="112" t="s">
        <v>13</v>
      </c>
      <c r="B42" s="112"/>
      <c r="C42" s="112" t="s">
        <v>14</v>
      </c>
      <c r="D42" s="112"/>
      <c r="E42" s="1"/>
      <c r="F42" s="1"/>
      <c r="G42" s="59" t="s">
        <v>5</v>
      </c>
      <c r="H42" s="76">
        <v>1</v>
      </c>
      <c r="I42" s="11">
        <v>0.99390619999999996</v>
      </c>
      <c r="J42" s="14">
        <v>1.010338</v>
      </c>
      <c r="K42" s="14">
        <v>1.0292220000000001</v>
      </c>
      <c r="L42" s="14">
        <v>1.049264</v>
      </c>
      <c r="M42" s="14">
        <v>1.3399559999999999</v>
      </c>
      <c r="N42" s="16">
        <v>1.1743399999999999</v>
      </c>
      <c r="O42" s="14">
        <v>1.0078860000000001</v>
      </c>
      <c r="P42" s="75">
        <v>1</v>
      </c>
      <c r="R42" s="59" t="s">
        <v>5</v>
      </c>
      <c r="S42" s="76">
        <v>1</v>
      </c>
      <c r="T42" s="29">
        <v>0.99328649999999996</v>
      </c>
      <c r="U42" s="19">
        <v>0.99641060000000004</v>
      </c>
      <c r="V42" s="19">
        <v>0.97983030000000004</v>
      </c>
      <c r="W42" s="19">
        <v>0.97097730000000004</v>
      </c>
      <c r="X42" s="19">
        <v>0.87884240000000002</v>
      </c>
      <c r="Y42" s="19">
        <v>0.93027090000000001</v>
      </c>
      <c r="Z42" s="19">
        <v>0.94175929999999997</v>
      </c>
      <c r="AA42" s="75">
        <v>1</v>
      </c>
    </row>
    <row r="43" spans="1:27" ht="19.5" thickBot="1" x14ac:dyDescent="0.3">
      <c r="A43" s="113"/>
      <c r="B43" s="113"/>
      <c r="C43" s="20" t="s">
        <v>30</v>
      </c>
      <c r="D43" s="9" t="s">
        <v>31</v>
      </c>
      <c r="E43" s="1"/>
      <c r="F43" s="1"/>
      <c r="G43" s="59" t="s">
        <v>6</v>
      </c>
      <c r="H43" s="11">
        <v>0.99390619999999996</v>
      </c>
      <c r="I43" s="74">
        <v>1</v>
      </c>
      <c r="J43" s="74">
        <v>1</v>
      </c>
      <c r="K43" s="74">
        <v>1</v>
      </c>
      <c r="L43" s="75">
        <v>1</v>
      </c>
      <c r="M43" s="75">
        <v>1</v>
      </c>
      <c r="N43" s="75">
        <v>1</v>
      </c>
      <c r="O43" s="75">
        <v>1</v>
      </c>
      <c r="P43" s="75">
        <v>1</v>
      </c>
      <c r="R43" s="59" t="s">
        <v>6</v>
      </c>
      <c r="S43" s="29">
        <v>0.99328649999999996</v>
      </c>
      <c r="T43" s="74">
        <v>1</v>
      </c>
      <c r="U43" s="74">
        <v>1</v>
      </c>
      <c r="V43" s="74">
        <v>1</v>
      </c>
      <c r="W43" s="75">
        <v>1</v>
      </c>
      <c r="X43" s="75">
        <v>1</v>
      </c>
      <c r="Y43" s="75">
        <v>1</v>
      </c>
      <c r="Z43" s="75">
        <v>1</v>
      </c>
      <c r="AA43" s="75">
        <v>1</v>
      </c>
    </row>
    <row r="44" spans="1:27" ht="16.5" thickTop="1" x14ac:dyDescent="0.25">
      <c r="A44" s="114" t="s">
        <v>5</v>
      </c>
      <c r="B44" s="2" t="s">
        <v>6</v>
      </c>
      <c r="C44" s="29">
        <v>0.99390619999999996</v>
      </c>
      <c r="D44" s="29">
        <v>0.99328649999999996</v>
      </c>
      <c r="E44" s="1"/>
      <c r="F44" s="1"/>
      <c r="G44" s="59" t="s">
        <v>7</v>
      </c>
      <c r="H44" s="14">
        <v>1.010338</v>
      </c>
      <c r="I44" s="74">
        <v>1</v>
      </c>
      <c r="J44" s="74">
        <v>1</v>
      </c>
      <c r="K44" s="74">
        <v>1</v>
      </c>
      <c r="L44" s="75">
        <v>1</v>
      </c>
      <c r="M44" s="75">
        <v>1</v>
      </c>
      <c r="N44" s="75">
        <v>1</v>
      </c>
      <c r="O44" s="75">
        <v>1</v>
      </c>
      <c r="P44" s="75">
        <v>1</v>
      </c>
      <c r="R44" s="59" t="s">
        <v>7</v>
      </c>
      <c r="S44" s="19">
        <v>0.99641060000000004</v>
      </c>
      <c r="T44" s="74">
        <v>1</v>
      </c>
      <c r="U44" s="74">
        <v>1</v>
      </c>
      <c r="V44" s="74">
        <v>1</v>
      </c>
      <c r="W44" s="75">
        <v>1</v>
      </c>
      <c r="X44" s="75">
        <v>1</v>
      </c>
      <c r="Y44" s="75">
        <v>1</v>
      </c>
      <c r="Z44" s="75">
        <v>1</v>
      </c>
      <c r="AA44" s="75">
        <v>1</v>
      </c>
    </row>
    <row r="45" spans="1:27" ht="15.75" x14ac:dyDescent="0.25">
      <c r="A45" s="115"/>
      <c r="B45" s="3" t="s">
        <v>7</v>
      </c>
      <c r="C45" s="5">
        <v>1.010338</v>
      </c>
      <c r="D45" s="5">
        <v>0.99641060000000004</v>
      </c>
      <c r="E45" s="1"/>
      <c r="F45" s="1"/>
      <c r="G45" s="59" t="s">
        <v>8</v>
      </c>
      <c r="H45" s="14">
        <v>1.0292220000000001</v>
      </c>
      <c r="I45" s="74">
        <v>1</v>
      </c>
      <c r="J45" s="74">
        <v>1</v>
      </c>
      <c r="K45" s="74">
        <v>1</v>
      </c>
      <c r="L45" s="75">
        <v>1</v>
      </c>
      <c r="M45" s="75">
        <v>1</v>
      </c>
      <c r="N45" s="75">
        <v>1</v>
      </c>
      <c r="O45" s="75">
        <v>1</v>
      </c>
      <c r="P45" s="75">
        <v>1</v>
      </c>
      <c r="R45" s="59" t="s">
        <v>8</v>
      </c>
      <c r="S45" s="19">
        <v>0.97983030000000004</v>
      </c>
      <c r="T45" s="74">
        <v>1</v>
      </c>
      <c r="U45" s="74">
        <v>1</v>
      </c>
      <c r="V45" s="74">
        <v>1</v>
      </c>
      <c r="W45" s="75">
        <v>1</v>
      </c>
      <c r="X45" s="75">
        <v>1</v>
      </c>
      <c r="Y45" s="75">
        <v>1</v>
      </c>
      <c r="Z45" s="75">
        <v>1</v>
      </c>
      <c r="AA45" s="75">
        <v>1</v>
      </c>
    </row>
    <row r="46" spans="1:27" ht="15.75" x14ac:dyDescent="0.25">
      <c r="A46" s="115"/>
      <c r="B46" s="3" t="s">
        <v>8</v>
      </c>
      <c r="C46" s="5">
        <v>1.0292220000000001</v>
      </c>
      <c r="D46" s="5">
        <v>0.97983030000000004</v>
      </c>
      <c r="E46" s="1"/>
      <c r="F46" s="1"/>
      <c r="G46" s="59" t="s">
        <v>1</v>
      </c>
      <c r="H46" s="14">
        <v>1.049264</v>
      </c>
      <c r="I46" s="74">
        <v>1</v>
      </c>
      <c r="J46" s="74">
        <v>1</v>
      </c>
      <c r="K46" s="74">
        <v>1</v>
      </c>
      <c r="L46" s="75">
        <v>1</v>
      </c>
      <c r="M46" s="75">
        <v>1</v>
      </c>
      <c r="N46" s="75">
        <v>1</v>
      </c>
      <c r="O46" s="75">
        <v>1</v>
      </c>
      <c r="P46" s="75">
        <v>1</v>
      </c>
      <c r="R46" s="59" t="s">
        <v>1</v>
      </c>
      <c r="S46" s="19">
        <v>0.97097730000000004</v>
      </c>
      <c r="T46" s="74">
        <v>1</v>
      </c>
      <c r="U46" s="74">
        <v>1</v>
      </c>
      <c r="V46" s="74">
        <v>1</v>
      </c>
      <c r="W46" s="75">
        <v>1</v>
      </c>
      <c r="X46" s="75">
        <v>1</v>
      </c>
      <c r="Y46" s="75">
        <v>1</v>
      </c>
      <c r="Z46" s="75">
        <v>1</v>
      </c>
      <c r="AA46" s="75">
        <v>1</v>
      </c>
    </row>
    <row r="47" spans="1:27" ht="15.75" x14ac:dyDescent="0.25">
      <c r="A47" s="115"/>
      <c r="B47" s="3" t="s">
        <v>1</v>
      </c>
      <c r="C47" s="5">
        <v>1.049264</v>
      </c>
      <c r="D47" s="5">
        <v>0.97097730000000004</v>
      </c>
      <c r="E47" s="1"/>
      <c r="F47" s="1"/>
      <c r="G47" s="59" t="s">
        <v>2</v>
      </c>
      <c r="H47" s="14">
        <v>1.3399559999999999</v>
      </c>
      <c r="I47" s="74">
        <v>1</v>
      </c>
      <c r="J47" s="74">
        <v>1</v>
      </c>
      <c r="K47" s="74">
        <v>1</v>
      </c>
      <c r="L47" s="75">
        <v>1</v>
      </c>
      <c r="M47" s="75">
        <v>1</v>
      </c>
      <c r="N47" s="75">
        <v>1</v>
      </c>
      <c r="O47" s="75">
        <v>1</v>
      </c>
      <c r="P47" s="75">
        <v>1</v>
      </c>
      <c r="R47" s="59" t="s">
        <v>2</v>
      </c>
      <c r="S47" s="19">
        <v>0.87884240000000002</v>
      </c>
      <c r="T47" s="74">
        <v>1</v>
      </c>
      <c r="U47" s="74">
        <v>1</v>
      </c>
      <c r="V47" s="74">
        <v>1</v>
      </c>
      <c r="W47" s="75">
        <v>1</v>
      </c>
      <c r="X47" s="75">
        <v>1</v>
      </c>
      <c r="Y47" s="75">
        <v>1</v>
      </c>
      <c r="Z47" s="75">
        <v>1</v>
      </c>
      <c r="AA47" s="75">
        <v>1</v>
      </c>
    </row>
    <row r="48" spans="1:27" ht="15.75" x14ac:dyDescent="0.25">
      <c r="A48" s="115"/>
      <c r="B48" s="3" t="s">
        <v>2</v>
      </c>
      <c r="C48" s="5">
        <v>1.3399559999999999</v>
      </c>
      <c r="D48" s="5">
        <v>0.87884240000000002</v>
      </c>
      <c r="E48" s="1"/>
      <c r="F48" s="1"/>
      <c r="G48" s="59" t="s">
        <v>9</v>
      </c>
      <c r="H48" s="16">
        <v>1.1743399999999999</v>
      </c>
      <c r="I48" s="74">
        <v>1</v>
      </c>
      <c r="J48" s="74">
        <v>1</v>
      </c>
      <c r="K48" s="74">
        <v>1</v>
      </c>
      <c r="L48" s="75">
        <v>1</v>
      </c>
      <c r="M48" s="75">
        <v>1</v>
      </c>
      <c r="N48" s="75">
        <v>1</v>
      </c>
      <c r="O48" s="75">
        <v>1</v>
      </c>
      <c r="P48" s="75">
        <v>1</v>
      </c>
      <c r="R48" s="59" t="s">
        <v>9</v>
      </c>
      <c r="S48" s="19">
        <v>0.93027090000000001</v>
      </c>
      <c r="T48" s="74">
        <v>1</v>
      </c>
      <c r="U48" s="74">
        <v>1</v>
      </c>
      <c r="V48" s="74">
        <v>1</v>
      </c>
      <c r="W48" s="75">
        <v>1</v>
      </c>
      <c r="X48" s="75">
        <v>1</v>
      </c>
      <c r="Y48" s="75">
        <v>1</v>
      </c>
      <c r="Z48" s="75">
        <v>1</v>
      </c>
      <c r="AA48" s="75">
        <v>1</v>
      </c>
    </row>
    <row r="49" spans="1:27" ht="15.75" x14ac:dyDescent="0.25">
      <c r="A49" s="115"/>
      <c r="B49" s="3" t="s">
        <v>9</v>
      </c>
      <c r="C49" s="34">
        <v>1.1743399999999999</v>
      </c>
      <c r="D49" s="5">
        <v>0.93027090000000001</v>
      </c>
      <c r="E49" s="1"/>
      <c r="F49" s="1"/>
      <c r="G49" s="59" t="s">
        <v>3</v>
      </c>
      <c r="H49" s="14">
        <v>1.0078860000000001</v>
      </c>
      <c r="I49" s="74">
        <v>1</v>
      </c>
      <c r="J49" s="74">
        <v>1</v>
      </c>
      <c r="K49" s="74">
        <v>1</v>
      </c>
      <c r="L49" s="75">
        <v>1</v>
      </c>
      <c r="M49" s="75">
        <v>1</v>
      </c>
      <c r="N49" s="75">
        <v>1</v>
      </c>
      <c r="O49" s="75">
        <v>1</v>
      </c>
      <c r="P49" s="75">
        <v>1</v>
      </c>
      <c r="R49" s="59" t="s">
        <v>3</v>
      </c>
      <c r="S49" s="19">
        <v>0.94175929999999997</v>
      </c>
      <c r="T49" s="74">
        <v>1</v>
      </c>
      <c r="U49" s="74">
        <v>1</v>
      </c>
      <c r="V49" s="74">
        <v>1</v>
      </c>
      <c r="W49" s="75">
        <v>1</v>
      </c>
      <c r="X49" s="75">
        <v>1</v>
      </c>
      <c r="Y49" s="75">
        <v>1</v>
      </c>
      <c r="Z49" s="75">
        <v>1</v>
      </c>
      <c r="AA49" s="75">
        <v>1</v>
      </c>
    </row>
    <row r="50" spans="1:27" ht="15.75" x14ac:dyDescent="0.25">
      <c r="A50" s="115"/>
      <c r="B50" s="3" t="s">
        <v>3</v>
      </c>
      <c r="C50" s="5">
        <v>1.0078860000000001</v>
      </c>
      <c r="D50" s="5">
        <v>0.94175929999999997</v>
      </c>
      <c r="E50" s="1"/>
      <c r="F50" s="1"/>
      <c r="G50" s="59" t="s">
        <v>4</v>
      </c>
      <c r="H50" s="74">
        <v>1</v>
      </c>
      <c r="I50" s="74">
        <v>1</v>
      </c>
      <c r="J50" s="74">
        <v>1</v>
      </c>
      <c r="K50" s="74">
        <v>1</v>
      </c>
      <c r="L50" s="75">
        <v>1</v>
      </c>
      <c r="M50" s="75">
        <v>1</v>
      </c>
      <c r="N50" s="75">
        <v>1</v>
      </c>
      <c r="O50" s="75">
        <v>1</v>
      </c>
      <c r="P50" s="75">
        <v>1</v>
      </c>
      <c r="R50" s="59" t="s">
        <v>4</v>
      </c>
      <c r="S50" s="74">
        <v>1</v>
      </c>
      <c r="T50" s="74">
        <v>1</v>
      </c>
      <c r="U50" s="74">
        <v>1</v>
      </c>
      <c r="V50" s="74">
        <v>1</v>
      </c>
      <c r="W50" s="75">
        <v>1</v>
      </c>
      <c r="X50" s="75">
        <v>1</v>
      </c>
      <c r="Y50" s="75">
        <v>1</v>
      </c>
      <c r="Z50" s="75">
        <v>1</v>
      </c>
      <c r="AA50" s="75">
        <v>1</v>
      </c>
    </row>
    <row r="51" spans="1:27" ht="24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27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27" x14ac:dyDescent="0.25">
      <c r="A53" s="1"/>
      <c r="B53" s="1"/>
      <c r="C53" s="1"/>
      <c r="D53" s="1"/>
      <c r="E53" s="1"/>
      <c r="F53" s="1"/>
      <c r="G53" s="1"/>
      <c r="H53" s="1"/>
      <c r="I53" s="1"/>
    </row>
    <row r="54" spans="1:27" ht="19.5" thickBot="1" x14ac:dyDescent="0.3">
      <c r="A54" s="9" t="s">
        <v>16</v>
      </c>
      <c r="B54" s="26" t="s">
        <v>25</v>
      </c>
      <c r="C54" s="9" t="s">
        <v>26</v>
      </c>
      <c r="D54" s="9" t="s">
        <v>27</v>
      </c>
      <c r="E54" s="9" t="s">
        <v>28</v>
      </c>
      <c r="F54" s="9" t="s">
        <v>29</v>
      </c>
      <c r="G54" s="9"/>
      <c r="H54" s="9"/>
      <c r="I54" s="27"/>
      <c r="J54" s="27"/>
    </row>
    <row r="55" spans="1:27" ht="16.5" thickTop="1" x14ac:dyDescent="0.25">
      <c r="A55" s="2">
        <v>1</v>
      </c>
      <c r="B55" s="28">
        <v>4.367901028E-2</v>
      </c>
      <c r="C55" s="29">
        <v>1</v>
      </c>
      <c r="D55" s="29">
        <v>-0.5</v>
      </c>
      <c r="E55" s="29">
        <v>0</v>
      </c>
      <c r="F55" s="29">
        <v>0</v>
      </c>
      <c r="G55" s="29"/>
      <c r="H55" s="29"/>
      <c r="I55" s="2"/>
      <c r="J55" s="2"/>
    </row>
    <row r="56" spans="1:27" ht="15.75" x14ac:dyDescent="0.25">
      <c r="A56" s="3">
        <v>2</v>
      </c>
      <c r="B56" s="30" t="s">
        <v>17</v>
      </c>
      <c r="C56" s="5">
        <v>1</v>
      </c>
      <c r="D56" s="5">
        <v>0.5</v>
      </c>
      <c r="E56" s="5">
        <v>0</v>
      </c>
      <c r="F56" s="5">
        <v>0</v>
      </c>
      <c r="G56" s="5"/>
      <c r="H56" s="5"/>
      <c r="I56" s="3"/>
      <c r="J56" s="3"/>
    </row>
    <row r="57" spans="1:27" ht="15.75" x14ac:dyDescent="0.25">
      <c r="A57" s="3">
        <v>3</v>
      </c>
      <c r="B57" s="30" t="s">
        <v>18</v>
      </c>
      <c r="C57" s="5">
        <v>1</v>
      </c>
      <c r="D57" s="5">
        <v>1</v>
      </c>
      <c r="E57" s="5">
        <v>0</v>
      </c>
      <c r="F57" s="5">
        <v>0</v>
      </c>
      <c r="G57" s="5"/>
      <c r="H57" s="5"/>
      <c r="I57" s="3"/>
      <c r="J57" s="3"/>
    </row>
    <row r="58" spans="1:27" ht="15.75" x14ac:dyDescent="0.25">
      <c r="A58" s="3">
        <v>4</v>
      </c>
      <c r="B58" s="30" t="s">
        <v>19</v>
      </c>
      <c r="C58" s="5">
        <v>2</v>
      </c>
      <c r="D58" s="5">
        <v>0.5</v>
      </c>
      <c r="E58" s="5">
        <v>0</v>
      </c>
      <c r="F58" s="5">
        <v>0</v>
      </c>
      <c r="G58" s="5"/>
      <c r="H58" s="5"/>
      <c r="I58" s="3"/>
      <c r="J58" s="3"/>
    </row>
    <row r="59" spans="1:27" ht="15.75" x14ac:dyDescent="0.25">
      <c r="A59" s="3">
        <v>5</v>
      </c>
      <c r="B59" s="30" t="s">
        <v>20</v>
      </c>
      <c r="C59" s="5">
        <v>2</v>
      </c>
      <c r="D59" s="5">
        <v>1</v>
      </c>
      <c r="E59" s="5">
        <v>0</v>
      </c>
      <c r="F59" s="5">
        <v>0</v>
      </c>
      <c r="G59" s="5"/>
      <c r="H59" s="5"/>
      <c r="I59" s="3"/>
      <c r="J59" s="3"/>
    </row>
    <row r="60" spans="1:27" ht="15.75" x14ac:dyDescent="0.25">
      <c r="A60" s="3">
        <v>6</v>
      </c>
      <c r="B60" s="30">
        <v>0.51204672200000001</v>
      </c>
      <c r="C60" s="5">
        <v>2</v>
      </c>
      <c r="D60" s="5">
        <v>1.5</v>
      </c>
      <c r="E60" s="5">
        <v>0</v>
      </c>
      <c r="F60" s="5">
        <v>0</v>
      </c>
      <c r="G60" s="5"/>
      <c r="H60" s="5"/>
      <c r="I60" s="3"/>
      <c r="J60" s="3"/>
    </row>
    <row r="61" spans="1:27" ht="15.75" x14ac:dyDescent="0.25">
      <c r="A61" s="3">
        <v>7</v>
      </c>
      <c r="B61" s="31">
        <f>-4.000010791*10^-4</f>
        <v>-4.0000107910000002E-4</v>
      </c>
      <c r="C61" s="5">
        <v>2</v>
      </c>
      <c r="D61" s="5">
        <v>4.5</v>
      </c>
      <c r="E61" s="5">
        <v>0</v>
      </c>
      <c r="F61" s="5">
        <v>0</v>
      </c>
      <c r="G61" s="5"/>
      <c r="H61" s="5"/>
      <c r="I61" s="3"/>
      <c r="J61" s="3"/>
    </row>
    <row r="62" spans="1:27" ht="15.75" x14ac:dyDescent="0.25">
      <c r="A62" s="3">
        <v>8</v>
      </c>
      <c r="B62" s="32">
        <v>-1.247842423E-2</v>
      </c>
      <c r="C62" s="5">
        <v>3</v>
      </c>
      <c r="D62" s="5">
        <v>0</v>
      </c>
      <c r="E62" s="5">
        <v>0</v>
      </c>
      <c r="F62" s="5">
        <v>0</v>
      </c>
      <c r="G62" s="5"/>
      <c r="H62" s="5"/>
      <c r="I62" s="3"/>
      <c r="J62" s="3"/>
    </row>
    <row r="63" spans="1:27" ht="15.75" x14ac:dyDescent="0.25">
      <c r="A63" s="3">
        <v>9</v>
      </c>
      <c r="B63" s="32">
        <v>3.100269701E-2</v>
      </c>
      <c r="C63" s="5">
        <v>4</v>
      </c>
      <c r="D63" s="5">
        <v>1</v>
      </c>
      <c r="E63" s="5">
        <v>0</v>
      </c>
      <c r="F63" s="5">
        <v>0</v>
      </c>
      <c r="G63" s="5"/>
      <c r="H63" s="5"/>
      <c r="I63" s="3"/>
      <c r="J63" s="3"/>
    </row>
    <row r="64" spans="1:27" ht="15.75" x14ac:dyDescent="0.25">
      <c r="A64" s="3">
        <v>10</v>
      </c>
      <c r="B64" s="31">
        <f>10^-3*1.754748522</f>
        <v>1.7547485220000001E-3</v>
      </c>
      <c r="C64" s="5">
        <v>4</v>
      </c>
      <c r="D64" s="5">
        <v>3</v>
      </c>
      <c r="E64" s="5">
        <v>0</v>
      </c>
      <c r="F64" s="5">
        <v>0</v>
      </c>
      <c r="G64" s="5"/>
      <c r="H64" s="5"/>
      <c r="I64" s="3"/>
      <c r="J64" s="3"/>
    </row>
    <row r="65" spans="1:10" ht="15.75" x14ac:dyDescent="0.25">
      <c r="A65" s="3">
        <v>11</v>
      </c>
      <c r="B65" s="31">
        <f>-3.171921605*10^-6</f>
        <v>-3.171921605E-6</v>
      </c>
      <c r="C65" s="5">
        <v>8</v>
      </c>
      <c r="D65" s="5">
        <v>1</v>
      </c>
      <c r="E65" s="5">
        <v>0</v>
      </c>
      <c r="F65" s="5">
        <v>0</v>
      </c>
      <c r="G65" s="5"/>
      <c r="H65" s="5"/>
      <c r="I65" s="3"/>
      <c r="J65" s="3"/>
    </row>
    <row r="66" spans="1:10" ht="15.75" x14ac:dyDescent="0.25">
      <c r="A66" s="3">
        <v>12</v>
      </c>
      <c r="B66" s="31">
        <f>10^-6*-2.24034684</f>
        <v>-2.24034684E-6</v>
      </c>
      <c r="C66" s="5">
        <v>9</v>
      </c>
      <c r="D66" s="5">
        <v>3</v>
      </c>
      <c r="E66" s="5">
        <v>0</v>
      </c>
      <c r="F66" s="5">
        <v>0</v>
      </c>
      <c r="G66" s="5"/>
      <c r="H66" s="5"/>
      <c r="I66" s="3"/>
      <c r="J66" s="3"/>
    </row>
    <row r="67" spans="1:10" ht="15.75" x14ac:dyDescent="0.25">
      <c r="A67" s="3">
        <v>13</v>
      </c>
      <c r="B67" s="31">
        <f>10^-7*2.947056156</f>
        <v>2.9470561559999997E-7</v>
      </c>
      <c r="C67" s="5">
        <v>10</v>
      </c>
      <c r="D67" s="5">
        <v>3</v>
      </c>
      <c r="E67" s="5">
        <v>0</v>
      </c>
      <c r="F67" s="5">
        <v>0</v>
      </c>
      <c r="G67" s="5"/>
      <c r="H67" s="5"/>
      <c r="I67" s="3"/>
      <c r="J67" s="3"/>
    </row>
    <row r="68" spans="1:10" ht="15.75" x14ac:dyDescent="0.25">
      <c r="A68" s="3">
        <v>14</v>
      </c>
      <c r="B68" s="33">
        <v>0.18304879090000001</v>
      </c>
      <c r="C68" s="5">
        <v>1</v>
      </c>
      <c r="D68" s="5">
        <v>0</v>
      </c>
      <c r="E68" s="5">
        <v>-1</v>
      </c>
      <c r="F68" s="5">
        <v>1</v>
      </c>
      <c r="G68" s="5"/>
      <c r="H68" s="5"/>
      <c r="I68" s="3"/>
      <c r="J68" s="3"/>
    </row>
    <row r="69" spans="1:10" ht="15.75" x14ac:dyDescent="0.25">
      <c r="A69" s="3">
        <v>15</v>
      </c>
      <c r="B69" s="33">
        <v>0.15118836790000001</v>
      </c>
      <c r="C69" s="5">
        <v>1</v>
      </c>
      <c r="D69" s="5">
        <v>1</v>
      </c>
      <c r="E69" s="5">
        <v>-1</v>
      </c>
      <c r="F69" s="5">
        <v>1</v>
      </c>
      <c r="G69" s="5"/>
      <c r="H69" s="5"/>
      <c r="I69" s="3"/>
      <c r="J69" s="3"/>
    </row>
    <row r="70" spans="1:10" ht="15.75" x14ac:dyDescent="0.25">
      <c r="A70" s="3">
        <v>16</v>
      </c>
      <c r="B70" s="33">
        <v>-0.42893638769999998</v>
      </c>
      <c r="C70" s="5">
        <v>1</v>
      </c>
      <c r="D70" s="5">
        <v>2</v>
      </c>
      <c r="E70" s="5">
        <v>-1</v>
      </c>
      <c r="F70" s="5">
        <v>1</v>
      </c>
      <c r="G70" s="5"/>
      <c r="H70" s="5"/>
      <c r="I70" s="3"/>
      <c r="J70" s="3"/>
    </row>
    <row r="71" spans="1:10" ht="15.75" x14ac:dyDescent="0.25">
      <c r="A71" s="3">
        <v>17</v>
      </c>
      <c r="B71" s="32">
        <v>6.8940024459999999E-2</v>
      </c>
      <c r="C71" s="5">
        <v>2</v>
      </c>
      <c r="D71" s="5">
        <v>0</v>
      </c>
      <c r="E71" s="5">
        <v>-1</v>
      </c>
      <c r="F71" s="5">
        <v>1</v>
      </c>
      <c r="G71" s="5"/>
      <c r="H71" s="5"/>
      <c r="I71" s="3"/>
      <c r="J71" s="3"/>
    </row>
    <row r="72" spans="1:10" ht="15.75" x14ac:dyDescent="0.25">
      <c r="A72" s="3">
        <v>18</v>
      </c>
      <c r="B72" s="32">
        <v>-1.4083139959999999E-2</v>
      </c>
      <c r="C72" s="5">
        <v>4</v>
      </c>
      <c r="D72" s="5">
        <v>0</v>
      </c>
      <c r="E72" s="5">
        <v>-1</v>
      </c>
      <c r="F72" s="5">
        <v>1</v>
      </c>
      <c r="G72" s="5"/>
      <c r="H72" s="5"/>
      <c r="I72" s="3"/>
      <c r="J72" s="3"/>
    </row>
    <row r="73" spans="1:10" ht="15.75" x14ac:dyDescent="0.25">
      <c r="A73" s="3">
        <v>19</v>
      </c>
      <c r="B73" s="33">
        <v>-3.0630548300000001E-2</v>
      </c>
      <c r="C73" s="5">
        <v>5</v>
      </c>
      <c r="D73" s="5">
        <v>2</v>
      </c>
      <c r="E73" s="5">
        <v>-1</v>
      </c>
      <c r="F73" s="5">
        <v>1</v>
      </c>
      <c r="G73" s="5"/>
      <c r="H73" s="5"/>
      <c r="I73" s="3"/>
      <c r="J73" s="3"/>
    </row>
    <row r="74" spans="1:10" ht="15.75" x14ac:dyDescent="0.25">
      <c r="A74" s="3">
        <v>20</v>
      </c>
      <c r="B74" s="32">
        <v>-2.9699067079999999E-2</v>
      </c>
      <c r="C74" s="5">
        <v>6</v>
      </c>
      <c r="D74" s="5">
        <v>2</v>
      </c>
      <c r="E74" s="5">
        <v>-1</v>
      </c>
      <c r="F74" s="5">
        <v>1</v>
      </c>
      <c r="G74" s="5"/>
      <c r="H74" s="5"/>
      <c r="I74" s="3"/>
      <c r="J74" s="3"/>
    </row>
    <row r="75" spans="1:10" ht="15.75" x14ac:dyDescent="0.25">
      <c r="A75" s="3">
        <v>21</v>
      </c>
      <c r="B75" s="32">
        <v>-1.9320408309999999E-2</v>
      </c>
      <c r="C75" s="5">
        <v>1</v>
      </c>
      <c r="D75" s="5">
        <v>5</v>
      </c>
      <c r="E75" s="5">
        <v>-1</v>
      </c>
      <c r="F75" s="5">
        <v>2</v>
      </c>
      <c r="G75" s="5"/>
      <c r="H75" s="5"/>
      <c r="I75" s="3"/>
      <c r="J75" s="3"/>
    </row>
    <row r="76" spans="1:10" ht="15.75" x14ac:dyDescent="0.25">
      <c r="A76" s="3">
        <v>22</v>
      </c>
      <c r="B76" s="33">
        <v>-0.1105739959</v>
      </c>
      <c r="C76" s="5">
        <v>2</v>
      </c>
      <c r="D76" s="5">
        <v>5</v>
      </c>
      <c r="E76" s="5">
        <v>-1</v>
      </c>
      <c r="F76" s="5">
        <v>2</v>
      </c>
      <c r="G76" s="5"/>
      <c r="H76" s="5"/>
      <c r="I76" s="3"/>
      <c r="J76" s="3"/>
    </row>
    <row r="77" spans="1:10" ht="15.75" x14ac:dyDescent="0.25">
      <c r="A77" s="3">
        <v>23</v>
      </c>
      <c r="B77" s="33">
        <v>9.9525489950000004E-2</v>
      </c>
      <c r="C77" s="5">
        <v>3</v>
      </c>
      <c r="D77" s="5">
        <v>5</v>
      </c>
      <c r="E77" s="5">
        <v>-1</v>
      </c>
      <c r="F77" s="5">
        <v>2</v>
      </c>
      <c r="G77" s="5"/>
      <c r="H77" s="5"/>
      <c r="I77" s="3"/>
      <c r="J77" s="3"/>
    </row>
    <row r="78" spans="1:10" ht="15.75" x14ac:dyDescent="0.25">
      <c r="A78" s="3">
        <v>24</v>
      </c>
      <c r="B78" s="31">
        <f>10^-3*8.548437825</f>
        <v>8.5484378250000013E-3</v>
      </c>
      <c r="C78" s="5">
        <v>4</v>
      </c>
      <c r="D78" s="5">
        <v>2</v>
      </c>
      <c r="E78" s="5">
        <v>-1</v>
      </c>
      <c r="F78" s="5">
        <v>2</v>
      </c>
      <c r="G78" s="5"/>
      <c r="H78" s="5"/>
      <c r="I78" s="3"/>
      <c r="J78" s="3"/>
    </row>
    <row r="79" spans="1:10" ht="15.75" x14ac:dyDescent="0.25">
      <c r="A79" s="3">
        <v>25</v>
      </c>
      <c r="B79" s="32">
        <v>-6.1505556619999999E-2</v>
      </c>
      <c r="C79" s="5">
        <v>4</v>
      </c>
      <c r="D79" s="5">
        <v>4</v>
      </c>
      <c r="E79" s="5">
        <v>-1</v>
      </c>
      <c r="F79" s="5">
        <v>2</v>
      </c>
      <c r="G79" s="5"/>
      <c r="H79" s="5"/>
      <c r="I79" s="3"/>
      <c r="J79" s="3"/>
    </row>
    <row r="80" spans="1:10" ht="15.75" x14ac:dyDescent="0.25">
      <c r="A80" s="3">
        <v>26</v>
      </c>
      <c r="B80" s="32">
        <v>-4.2917924230000001E-2</v>
      </c>
      <c r="C80" s="5">
        <v>3</v>
      </c>
      <c r="D80" s="5">
        <v>12</v>
      </c>
      <c r="E80" s="5">
        <v>-1</v>
      </c>
      <c r="F80" s="5">
        <v>3</v>
      </c>
      <c r="G80" s="5"/>
      <c r="H80" s="5"/>
      <c r="I80" s="3"/>
      <c r="J80" s="3"/>
    </row>
    <row r="81" spans="1:10" ht="15.75" x14ac:dyDescent="0.25">
      <c r="A81" s="3">
        <v>27</v>
      </c>
      <c r="B81" s="33">
        <v>-1.8132072900000001E-2</v>
      </c>
      <c r="C81" s="5">
        <v>5</v>
      </c>
      <c r="D81" s="5">
        <v>8</v>
      </c>
      <c r="E81" s="5">
        <v>-1</v>
      </c>
      <c r="F81" s="5">
        <v>3</v>
      </c>
      <c r="G81" s="5"/>
      <c r="H81" s="5"/>
      <c r="I81" s="3"/>
      <c r="J81" s="3"/>
    </row>
    <row r="82" spans="1:10" ht="15.75" x14ac:dyDescent="0.25">
      <c r="A82" s="3">
        <v>28</v>
      </c>
      <c r="B82" s="33">
        <v>3.4459047600000001E-2</v>
      </c>
      <c r="C82" s="5">
        <v>5</v>
      </c>
      <c r="D82" s="5">
        <v>10</v>
      </c>
      <c r="E82" s="5">
        <v>-1</v>
      </c>
      <c r="F82" s="5">
        <v>3</v>
      </c>
      <c r="G82" s="5"/>
      <c r="H82" s="5"/>
      <c r="I82" s="3"/>
      <c r="J82" s="3"/>
    </row>
    <row r="83" spans="1:10" ht="15.75" x14ac:dyDescent="0.25">
      <c r="A83" s="3">
        <v>29</v>
      </c>
      <c r="B83" s="31">
        <f>10^-3*-2.38591945</f>
        <v>-2.3859194499999997E-3</v>
      </c>
      <c r="C83" s="5">
        <v>8</v>
      </c>
      <c r="D83" s="5">
        <v>10</v>
      </c>
      <c r="E83" s="5">
        <v>-1</v>
      </c>
      <c r="F83" s="5">
        <v>3</v>
      </c>
      <c r="G83" s="5"/>
      <c r="H83" s="5"/>
      <c r="I83" s="3"/>
      <c r="J83" s="3"/>
    </row>
    <row r="84" spans="1:10" ht="15.75" x14ac:dyDescent="0.25">
      <c r="A84" s="3">
        <v>30</v>
      </c>
      <c r="B84" s="32">
        <v>-1.1590949390000001E-2</v>
      </c>
      <c r="C84" s="5">
        <v>2</v>
      </c>
      <c r="D84" s="5">
        <v>10</v>
      </c>
      <c r="E84" s="5">
        <v>-1</v>
      </c>
      <c r="F84" s="5">
        <v>4</v>
      </c>
      <c r="G84" s="5"/>
      <c r="H84" s="5"/>
      <c r="I84" s="3"/>
      <c r="J84" s="3"/>
    </row>
    <row r="85" spans="1:10" ht="15.75" x14ac:dyDescent="0.25">
      <c r="A85" s="3">
        <v>31</v>
      </c>
      <c r="B85" s="32">
        <v>6.6416936019999998E-2</v>
      </c>
      <c r="C85" s="5">
        <v>3</v>
      </c>
      <c r="D85" s="5">
        <v>14</v>
      </c>
      <c r="E85" s="5">
        <v>-1</v>
      </c>
      <c r="F85" s="5">
        <v>4</v>
      </c>
      <c r="G85" s="5"/>
      <c r="H85" s="5"/>
      <c r="I85" s="3"/>
      <c r="J85" s="3"/>
    </row>
    <row r="86" spans="1:10" ht="15.75" x14ac:dyDescent="0.25">
      <c r="A86" s="3">
        <v>32</v>
      </c>
      <c r="B86" s="33">
        <v>-2.3715495900000001E-2</v>
      </c>
      <c r="C86" s="5">
        <v>4</v>
      </c>
      <c r="D86" s="5">
        <v>12</v>
      </c>
      <c r="E86" s="5">
        <v>-1</v>
      </c>
      <c r="F86" s="5">
        <v>4</v>
      </c>
      <c r="G86" s="5"/>
      <c r="H86" s="5"/>
      <c r="I86" s="3"/>
      <c r="J86" s="3"/>
    </row>
    <row r="87" spans="1:10" ht="15.75" x14ac:dyDescent="0.25">
      <c r="A87" s="3">
        <v>33</v>
      </c>
      <c r="B87" s="32">
        <v>-3.9616249050000003E-2</v>
      </c>
      <c r="C87" s="5">
        <v>4</v>
      </c>
      <c r="D87" s="5">
        <v>18</v>
      </c>
      <c r="E87" s="5">
        <v>-1</v>
      </c>
      <c r="F87" s="5">
        <v>4</v>
      </c>
      <c r="G87" s="5"/>
      <c r="H87" s="5"/>
      <c r="I87" s="3"/>
      <c r="J87" s="3"/>
    </row>
    <row r="88" spans="1:10" ht="15.75" x14ac:dyDescent="0.25">
      <c r="A88" s="3">
        <v>34</v>
      </c>
      <c r="B88" s="32">
        <v>-1.387292044E-2</v>
      </c>
      <c r="C88" s="5">
        <v>4</v>
      </c>
      <c r="D88" s="5">
        <v>22</v>
      </c>
      <c r="E88" s="5">
        <v>-1</v>
      </c>
      <c r="F88" s="5">
        <v>4</v>
      </c>
      <c r="G88" s="5"/>
      <c r="H88" s="5"/>
      <c r="I88" s="3"/>
      <c r="J88" s="3"/>
    </row>
    <row r="89" spans="1:10" ht="15.75" x14ac:dyDescent="0.25">
      <c r="A89" s="3">
        <v>35</v>
      </c>
      <c r="B89" s="32">
        <v>3.389489599E-2</v>
      </c>
      <c r="C89" s="5">
        <v>5</v>
      </c>
      <c r="D89" s="5">
        <v>18</v>
      </c>
      <c r="E89" s="5">
        <v>-1</v>
      </c>
      <c r="F89" s="5">
        <v>4</v>
      </c>
      <c r="G89" s="5"/>
      <c r="H89" s="5"/>
      <c r="I89" s="3"/>
      <c r="J89" s="3"/>
    </row>
    <row r="90" spans="1:10" ht="15.75" x14ac:dyDescent="0.25">
      <c r="A90" s="3">
        <v>36</v>
      </c>
      <c r="B90" s="31">
        <f>10^-3*-2.927378753</f>
        <v>-2.927378753E-3</v>
      </c>
      <c r="C90" s="5">
        <v>6</v>
      </c>
      <c r="D90" s="5">
        <v>14</v>
      </c>
      <c r="E90" s="5">
        <v>-1</v>
      </c>
      <c r="F90" s="5">
        <v>4</v>
      </c>
      <c r="G90" s="5"/>
      <c r="H90" s="5"/>
      <c r="I90" s="3"/>
      <c r="J90" s="3"/>
    </row>
    <row r="91" spans="1:10" ht="15.75" x14ac:dyDescent="0.25">
      <c r="A91" s="3">
        <v>37</v>
      </c>
      <c r="B91" s="31">
        <f>10^-5*9.324799946</f>
        <v>9.3247999460000015E-5</v>
      </c>
      <c r="C91" s="5">
        <v>2</v>
      </c>
      <c r="D91" s="5">
        <v>2</v>
      </c>
      <c r="E91" s="5"/>
      <c r="F91" s="5"/>
      <c r="G91" s="5">
        <v>-20</v>
      </c>
      <c r="H91" s="5">
        <v>-200</v>
      </c>
      <c r="I91" s="3">
        <v>1</v>
      </c>
      <c r="J91" s="3">
        <v>1.07</v>
      </c>
    </row>
    <row r="92" spans="1:10" ht="15.75" x14ac:dyDescent="0.25">
      <c r="A92" s="3">
        <v>38</v>
      </c>
      <c r="B92" s="30">
        <v>-6.2871715180000001</v>
      </c>
      <c r="C92" s="5">
        <v>0</v>
      </c>
      <c r="D92" s="5">
        <v>0</v>
      </c>
      <c r="E92" s="5"/>
      <c r="F92" s="5"/>
      <c r="G92" s="5">
        <v>-40</v>
      </c>
      <c r="H92" s="5">
        <v>-250</v>
      </c>
      <c r="I92" s="3">
        <v>1</v>
      </c>
      <c r="J92" s="3">
        <v>1.1100000000000001</v>
      </c>
    </row>
    <row r="93" spans="1:10" ht="15.75" x14ac:dyDescent="0.25">
      <c r="A93" s="3">
        <v>39</v>
      </c>
      <c r="B93" s="30">
        <v>12.710694670000001</v>
      </c>
      <c r="C93" s="5">
        <v>0</v>
      </c>
      <c r="D93" s="5">
        <v>1</v>
      </c>
      <c r="E93" s="5"/>
      <c r="F93" s="5"/>
      <c r="G93" s="5">
        <v>-40</v>
      </c>
      <c r="H93" s="5">
        <v>-250</v>
      </c>
      <c r="I93" s="3">
        <v>1</v>
      </c>
      <c r="J93" s="3">
        <v>1.1100000000000001</v>
      </c>
    </row>
    <row r="94" spans="1:10" ht="15.75" x14ac:dyDescent="0.25">
      <c r="A94" s="3">
        <v>40</v>
      </c>
      <c r="B94" s="30">
        <v>-6.4239534660000004</v>
      </c>
      <c r="C94" s="5">
        <v>0</v>
      </c>
      <c r="D94" s="5">
        <v>2</v>
      </c>
      <c r="E94" s="5"/>
      <c r="F94" s="5"/>
      <c r="G94" s="5">
        <v>-40</v>
      </c>
      <c r="H94" s="5">
        <v>-250</v>
      </c>
      <c r="I94" s="3">
        <v>1</v>
      </c>
      <c r="J94" s="3">
        <v>1.1100000000000001</v>
      </c>
    </row>
    <row r="98" spans="1:11" ht="15.75" x14ac:dyDescent="0.25">
      <c r="A98" s="116"/>
      <c r="B98" s="112" t="s">
        <v>15</v>
      </c>
      <c r="C98" s="116"/>
      <c r="D98" s="116"/>
      <c r="E98" s="116"/>
      <c r="F98" s="116"/>
      <c r="G98" s="116"/>
      <c r="H98" s="116"/>
      <c r="I98" s="116"/>
      <c r="J98" s="116"/>
      <c r="K98" s="116"/>
    </row>
    <row r="99" spans="1:11" ht="39" thickBot="1" x14ac:dyDescent="0.3">
      <c r="A99" s="117"/>
      <c r="B99" s="113"/>
      <c r="C99" s="21" t="s">
        <v>5</v>
      </c>
      <c r="D99" s="9" t="s">
        <v>6</v>
      </c>
      <c r="E99" s="9" t="s">
        <v>7</v>
      </c>
      <c r="F99" s="9" t="s">
        <v>8</v>
      </c>
      <c r="G99" s="9" t="s">
        <v>1</v>
      </c>
      <c r="H99" s="9" t="s">
        <v>2</v>
      </c>
      <c r="I99" s="9" t="s">
        <v>9</v>
      </c>
      <c r="J99" s="9" t="s">
        <v>3</v>
      </c>
      <c r="K99" s="22" t="s">
        <v>21</v>
      </c>
    </row>
    <row r="100" spans="1:11" ht="16.5" thickTop="1" x14ac:dyDescent="0.25">
      <c r="A100" s="23">
        <v>1</v>
      </c>
      <c r="B100" s="23">
        <v>1</v>
      </c>
      <c r="C100" s="23">
        <v>0</v>
      </c>
      <c r="D100" s="23">
        <v>-5.4994040000000001E-2</v>
      </c>
      <c r="E100" s="23">
        <v>-0.10338020000000001</v>
      </c>
      <c r="F100" s="23">
        <v>-0.1446201</v>
      </c>
      <c r="G100" s="23">
        <v>-0.13305690000000001</v>
      </c>
      <c r="H100" s="23">
        <v>-0.13449639999999999</v>
      </c>
      <c r="I100" s="23">
        <v>-0.15002470000000001</v>
      </c>
      <c r="J100" s="24">
        <v>-1.1065800000000001E-2</v>
      </c>
      <c r="K100" s="23">
        <v>0</v>
      </c>
    </row>
    <row r="101" spans="1:11" ht="15.75" x14ac:dyDescent="0.25">
      <c r="A101" s="25">
        <v>2</v>
      </c>
      <c r="B101" s="25">
        <v>1</v>
      </c>
      <c r="C101" s="25">
        <v>0</v>
      </c>
      <c r="D101" s="25">
        <v>7.1320880000000003E-2</v>
      </c>
      <c r="E101" s="25">
        <v>0.12564330000000001</v>
      </c>
      <c r="F101" s="25">
        <v>0.16915340000000001</v>
      </c>
      <c r="G101" s="25">
        <v>0.15150159999999999</v>
      </c>
      <c r="H101" s="25">
        <v>0.17577780000000001</v>
      </c>
      <c r="I101" s="25">
        <v>0.1765188</v>
      </c>
      <c r="J101" s="25">
        <v>1.395339E-2</v>
      </c>
      <c r="K101" s="25">
        <v>0</v>
      </c>
    </row>
    <row r="102" spans="1:11" ht="15.75" x14ac:dyDescent="0.25">
      <c r="A102" s="25">
        <v>3</v>
      </c>
      <c r="B102" s="25">
        <v>0</v>
      </c>
      <c r="C102" s="25">
        <v>0</v>
      </c>
      <c r="D102" s="25">
        <v>3.4117479999999999E-2</v>
      </c>
      <c r="E102" s="25">
        <v>5.515581E-2</v>
      </c>
      <c r="F102" s="25">
        <v>7.2559680000000001E-2</v>
      </c>
      <c r="G102" s="25">
        <v>6.7037810000000003E-2</v>
      </c>
      <c r="H102" s="25">
        <v>7.7513440000000003E-2</v>
      </c>
      <c r="I102" s="25">
        <v>8.0763950000000001E-2</v>
      </c>
      <c r="J102" s="25">
        <v>1.517371E-2</v>
      </c>
      <c r="K102" s="25">
        <v>0</v>
      </c>
    </row>
    <row r="103" spans="1:11" ht="15.75" x14ac:dyDescent="0.25">
      <c r="A103" s="25">
        <v>4</v>
      </c>
      <c r="B103" s="25">
        <v>1</v>
      </c>
      <c r="C103" s="25">
        <v>0</v>
      </c>
      <c r="D103" s="25">
        <v>0.34638439999999998</v>
      </c>
      <c r="E103" s="25">
        <v>0.38770779999999999</v>
      </c>
      <c r="F103" s="25">
        <v>0.38432759999999999</v>
      </c>
      <c r="G103" s="15">
        <v>0.310168</v>
      </c>
      <c r="H103" s="25">
        <v>0.4160334</v>
      </c>
      <c r="I103" s="25">
        <v>0.38025540000000002</v>
      </c>
      <c r="J103" s="25">
        <v>4.9076719999999997E-2</v>
      </c>
      <c r="K103" s="25">
        <v>0</v>
      </c>
    </row>
    <row r="104" spans="1:11" ht="15.75" x14ac:dyDescent="0.25">
      <c r="A104" s="25">
        <v>5</v>
      </c>
      <c r="B104" s="25">
        <v>0</v>
      </c>
      <c r="C104" s="25">
        <v>0</v>
      </c>
      <c r="D104" s="25">
        <v>-0.17569870000000001</v>
      </c>
      <c r="E104" s="15">
        <v>-0.18687000000000001</v>
      </c>
      <c r="F104" s="25">
        <v>-0.1778766</v>
      </c>
      <c r="G104" s="25">
        <v>-0.14282829999999999</v>
      </c>
      <c r="H104" s="25">
        <v>-0.1988925</v>
      </c>
      <c r="I104" s="25">
        <v>-0.1789241</v>
      </c>
      <c r="J104" s="25">
        <v>-2.4921410000000001E-2</v>
      </c>
      <c r="K104" s="25">
        <v>0</v>
      </c>
    </row>
    <row r="105" spans="1:11" ht="15.75" x14ac:dyDescent="0.25">
      <c r="A105" s="25">
        <v>6</v>
      </c>
      <c r="B105" s="25">
        <v>1</v>
      </c>
      <c r="C105" s="25">
        <v>0</v>
      </c>
      <c r="D105" s="25">
        <v>1.1812349999999999E-2</v>
      </c>
      <c r="E105" s="17">
        <v>5.0991099999999998E-2</v>
      </c>
      <c r="F105" s="25">
        <v>7.9483369999999998E-2</v>
      </c>
      <c r="G105" s="25">
        <v>0.10225430000000001</v>
      </c>
      <c r="H105" s="17">
        <v>9.9676600000000004E-2</v>
      </c>
      <c r="I105" s="25">
        <v>0.1206911</v>
      </c>
      <c r="J105" s="25">
        <v>7.0762689999999996E-3</v>
      </c>
      <c r="K105" s="25">
        <v>0</v>
      </c>
    </row>
    <row r="110" spans="1:11" ht="15.75" x14ac:dyDescent="0.25">
      <c r="A110" s="110" t="s">
        <v>22</v>
      </c>
      <c r="B110" s="112"/>
      <c r="C110" s="112"/>
      <c r="D110" s="112"/>
      <c r="E110" s="112"/>
      <c r="F110" s="112"/>
    </row>
    <row r="111" spans="1:11" ht="16.5" thickBot="1" x14ac:dyDescent="0.3">
      <c r="A111" s="111"/>
      <c r="B111" s="9">
        <v>0</v>
      </c>
      <c r="C111" s="9">
        <v>1</v>
      </c>
      <c r="D111" s="9">
        <v>2</v>
      </c>
      <c r="E111" s="9">
        <v>3</v>
      </c>
      <c r="F111" s="9">
        <v>4</v>
      </c>
    </row>
    <row r="112" spans="1:11" ht="16.5" thickTop="1" x14ac:dyDescent="0.25">
      <c r="A112" s="10" t="s">
        <v>5</v>
      </c>
      <c r="B112" s="11">
        <v>3.98591747</v>
      </c>
      <c r="C112" s="12">
        <v>9.4481788299999994E-2</v>
      </c>
      <c r="D112" s="11">
        <v>-0.18405951800000001</v>
      </c>
      <c r="E112" s="11">
        <v>0.12167088299999999</v>
      </c>
      <c r="F112" s="11">
        <v>0</v>
      </c>
    </row>
    <row r="113" spans="1:6" ht="15.75" x14ac:dyDescent="0.25">
      <c r="A113" s="13" t="s">
        <v>6</v>
      </c>
      <c r="B113" s="14">
        <v>4.0449453399999999</v>
      </c>
      <c r="C113" s="14">
        <v>-2.88738414</v>
      </c>
      <c r="D113" s="14">
        <v>20.442099800000001</v>
      </c>
      <c r="E113" s="14">
        <v>-36.328916700000001</v>
      </c>
      <c r="F113" s="14">
        <v>24.123123100000001</v>
      </c>
    </row>
    <row r="114" spans="1:6" ht="15.75" x14ac:dyDescent="0.25">
      <c r="A114" s="13" t="s">
        <v>7</v>
      </c>
      <c r="B114" s="14">
        <v>3.5998477900000001</v>
      </c>
      <c r="C114" s="14">
        <v>-4.1471346100000002</v>
      </c>
      <c r="D114" s="15">
        <v>68.477624000000006</v>
      </c>
      <c r="E114" s="16">
        <v>-163.46977999999999</v>
      </c>
      <c r="F114" s="14">
        <v>133.087884</v>
      </c>
    </row>
    <row r="115" spans="1:6" ht="15.75" x14ac:dyDescent="0.25">
      <c r="A115" s="13" t="s">
        <v>8</v>
      </c>
      <c r="B115" s="14">
        <v>3.2738329899999998</v>
      </c>
      <c r="C115" s="14">
        <v>-4.4900973500000001</v>
      </c>
      <c r="D115" s="14">
        <v>114.587546</v>
      </c>
      <c r="E115" s="14">
        <v>-290.17516899999998</v>
      </c>
      <c r="F115" s="14">
        <v>249.508274</v>
      </c>
    </row>
    <row r="116" spans="1:6" ht="15.75" x14ac:dyDescent="0.25">
      <c r="A116" s="13" t="s">
        <v>23</v>
      </c>
      <c r="B116" s="17">
        <v>1.1082114000000001</v>
      </c>
      <c r="C116" s="14">
        <v>26.764666500000001</v>
      </c>
      <c r="D116" s="14">
        <v>18.9823524</v>
      </c>
      <c r="E116" s="14">
        <v>-194.636448</v>
      </c>
      <c r="F116" s="14">
        <v>240.74936299999999</v>
      </c>
    </row>
    <row r="117" spans="1:6" ht="15.75" x14ac:dyDescent="0.25">
      <c r="A117" s="13" t="s">
        <v>2</v>
      </c>
      <c r="B117" s="14">
        <v>10.1905588</v>
      </c>
      <c r="C117" s="14">
        <v>-104.660203</v>
      </c>
      <c r="D117" s="14">
        <v>586.66606100000001</v>
      </c>
      <c r="E117" s="14">
        <v>-1150.4802199999999</v>
      </c>
      <c r="F117" s="14">
        <v>817.34173499999997</v>
      </c>
    </row>
    <row r="118" spans="1:6" ht="15.75" x14ac:dyDescent="0.25">
      <c r="A118" s="13" t="s">
        <v>24</v>
      </c>
      <c r="B118" s="14">
        <v>1.30150258</v>
      </c>
      <c r="C118" s="14">
        <v>7.4279840500000001</v>
      </c>
      <c r="D118" s="14">
        <v>241.15195299999999</v>
      </c>
      <c r="E118" s="14">
        <v>-857.02183100000002</v>
      </c>
      <c r="F118" s="14">
        <v>901.46620900000005</v>
      </c>
    </row>
    <row r="119" spans="1:6" ht="15.75" x14ac:dyDescent="0.25">
      <c r="A119" s="13" t="s">
        <v>3</v>
      </c>
      <c r="B119" s="14">
        <v>3.50000066</v>
      </c>
      <c r="C119" s="18">
        <v>3.858466241E-4</v>
      </c>
      <c r="D119" s="18">
        <v>7.4462368799999999E-5</v>
      </c>
      <c r="E119" s="14">
        <v>0</v>
      </c>
      <c r="F119" s="14">
        <v>0</v>
      </c>
    </row>
    <row r="120" spans="1:6" ht="15.75" x14ac:dyDescent="0.25">
      <c r="A120" s="13" t="s">
        <v>4</v>
      </c>
      <c r="B120" s="14">
        <v>3.2674330700000001</v>
      </c>
      <c r="C120" s="14">
        <v>3.0416605699999999</v>
      </c>
      <c r="D120" s="14">
        <v>-14.4322345</v>
      </c>
      <c r="E120" s="14">
        <v>28.280176699999998</v>
      </c>
      <c r="F120" s="14">
        <v>-17.106496799999999</v>
      </c>
    </row>
    <row r="130" spans="6:7" x14ac:dyDescent="0.25">
      <c r="F130" s="86"/>
      <c r="G130" s="86"/>
    </row>
  </sheetData>
  <mergeCells count="8">
    <mergeCell ref="A110:A111"/>
    <mergeCell ref="B110:F110"/>
    <mergeCell ref="A42:B43"/>
    <mergeCell ref="C42:D42"/>
    <mergeCell ref="A44:A50"/>
    <mergeCell ref="A98:A99"/>
    <mergeCell ref="B98:B99"/>
    <mergeCell ref="C98:K98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18"/>
  <sheetViews>
    <sheetView tabSelected="1" workbookViewId="0">
      <selection activeCell="A9" sqref="A9"/>
    </sheetView>
  </sheetViews>
  <sheetFormatPr defaultRowHeight="15" x14ac:dyDescent="0.25"/>
  <cols>
    <col min="1" max="1" width="34.7109375" customWidth="1"/>
    <col min="2" max="2" width="30.28515625" customWidth="1"/>
    <col min="3" max="3" width="29.5703125" customWidth="1"/>
    <col min="5" max="5" width="16.85546875" customWidth="1"/>
    <col min="6" max="6" width="24.7109375" customWidth="1"/>
    <col min="7" max="7" width="15.5703125" customWidth="1"/>
    <col min="8" max="8" width="13.85546875" customWidth="1"/>
    <col min="9" max="9" width="32.28515625" customWidth="1"/>
  </cols>
  <sheetData>
    <row r="1" spans="1:10" ht="18" x14ac:dyDescent="0.3">
      <c r="A1" s="87" t="s">
        <v>69</v>
      </c>
      <c r="B1" s="106" t="s">
        <v>74</v>
      </c>
      <c r="C1" s="72"/>
      <c r="G1" s="44" t="s">
        <v>33</v>
      </c>
    </row>
    <row r="2" spans="1:10" ht="15.75" x14ac:dyDescent="0.25">
      <c r="A2" s="88">
        <v>397.0780029296875</v>
      </c>
      <c r="B2" s="8">
        <v>3.0098785396136472</v>
      </c>
      <c r="D2" s="41"/>
      <c r="E2" s="41"/>
    </row>
    <row r="3" spans="1:10" ht="17.25" x14ac:dyDescent="0.3">
      <c r="A3" s="89"/>
      <c r="B3" s="89"/>
      <c r="C3" s="73"/>
      <c r="D3" s="42"/>
      <c r="E3" s="39" t="s">
        <v>37</v>
      </c>
      <c r="F3" s="46" t="s">
        <v>34</v>
      </c>
      <c r="G3" s="35" t="s">
        <v>32</v>
      </c>
      <c r="H3" s="35" t="s">
        <v>35</v>
      </c>
      <c r="I3" s="118" t="s">
        <v>36</v>
      </c>
      <c r="J3" s="118"/>
    </row>
    <row r="4" spans="1:10" ht="15.75" x14ac:dyDescent="0.25">
      <c r="A4" s="90"/>
      <c r="B4" s="92"/>
      <c r="C4" s="73"/>
      <c r="D4" s="42"/>
      <c r="E4" s="119">
        <v>1</v>
      </c>
      <c r="F4" s="122"/>
      <c r="G4" s="125"/>
      <c r="H4" s="128"/>
      <c r="I4" s="8" t="s">
        <v>5</v>
      </c>
      <c r="J4" s="45"/>
    </row>
    <row r="5" spans="1:10" ht="15.75" x14ac:dyDescent="0.25">
      <c r="A5" s="91"/>
      <c r="B5" s="93"/>
      <c r="C5" s="73"/>
      <c r="D5" s="42"/>
      <c r="E5" s="120"/>
      <c r="F5" s="123"/>
      <c r="G5" s="126"/>
      <c r="H5" s="129"/>
      <c r="I5" s="8" t="s">
        <v>6</v>
      </c>
      <c r="J5" s="45"/>
    </row>
    <row r="6" spans="1:10" ht="15.75" x14ac:dyDescent="0.25">
      <c r="B6" s="54"/>
      <c r="C6" s="73"/>
      <c r="D6" s="42"/>
      <c r="E6" s="120"/>
      <c r="F6" s="123"/>
      <c r="G6" s="126"/>
      <c r="H6" s="129"/>
      <c r="I6" s="8" t="s">
        <v>7</v>
      </c>
      <c r="J6" s="45"/>
    </row>
    <row r="7" spans="1:10" ht="15.75" x14ac:dyDescent="0.25">
      <c r="B7" s="54"/>
      <c r="C7" s="73"/>
      <c r="D7" s="42"/>
      <c r="E7" s="120"/>
      <c r="F7" s="123"/>
      <c r="G7" s="126"/>
      <c r="H7" s="129"/>
      <c r="I7" s="8" t="s">
        <v>8</v>
      </c>
      <c r="J7" s="45"/>
    </row>
    <row r="8" spans="1:10" ht="15.75" x14ac:dyDescent="0.25">
      <c r="B8" s="107"/>
      <c r="C8" s="73"/>
      <c r="D8" s="42"/>
      <c r="E8" s="120"/>
      <c r="F8" s="123"/>
      <c r="G8" s="126"/>
      <c r="H8" s="129"/>
      <c r="I8" s="8" t="s">
        <v>1</v>
      </c>
      <c r="J8" s="45"/>
    </row>
    <row r="9" spans="1:10" ht="15.75" x14ac:dyDescent="0.25">
      <c r="A9" s="88"/>
      <c r="B9" s="8"/>
      <c r="C9" s="73"/>
      <c r="D9" s="42"/>
      <c r="E9" s="120"/>
      <c r="F9" s="123"/>
      <c r="G9" s="126"/>
      <c r="H9" s="129"/>
      <c r="I9" s="8" t="s">
        <v>2</v>
      </c>
      <c r="J9" s="45"/>
    </row>
    <row r="10" spans="1:10" ht="15.75" x14ac:dyDescent="0.25">
      <c r="A10" s="89"/>
      <c r="B10" s="89"/>
      <c r="C10" s="73"/>
      <c r="D10" s="42"/>
      <c r="E10" s="120"/>
      <c r="F10" s="123"/>
      <c r="G10" s="126"/>
      <c r="H10" s="129"/>
      <c r="I10" s="8" t="s">
        <v>9</v>
      </c>
      <c r="J10" s="45"/>
    </row>
    <row r="11" spans="1:10" ht="15.75" x14ac:dyDescent="0.25">
      <c r="A11" s="108"/>
      <c r="B11" s="109"/>
      <c r="C11" s="73"/>
      <c r="D11" s="42"/>
      <c r="E11" s="120"/>
      <c r="F11" s="123"/>
      <c r="G11" s="126"/>
      <c r="H11" s="129"/>
      <c r="I11" s="8" t="s">
        <v>3</v>
      </c>
      <c r="J11" s="45"/>
    </row>
    <row r="12" spans="1:10" ht="15.75" x14ac:dyDescent="0.25">
      <c r="A12" s="91"/>
      <c r="B12" s="93"/>
      <c r="C12" s="43"/>
      <c r="D12" s="43"/>
      <c r="E12" s="121"/>
      <c r="F12" s="124"/>
      <c r="G12" s="127"/>
      <c r="H12" s="130"/>
      <c r="I12" s="8" t="s">
        <v>4</v>
      </c>
      <c r="J12" s="45"/>
    </row>
    <row r="13" spans="1:10" ht="15.75" x14ac:dyDescent="0.25">
      <c r="B13" s="43"/>
      <c r="C13" s="43"/>
      <c r="E13" s="119">
        <v>2</v>
      </c>
      <c r="F13" s="122"/>
      <c r="G13" s="125"/>
      <c r="H13" s="128"/>
      <c r="I13" s="8" t="s">
        <v>5</v>
      </c>
      <c r="J13" s="45"/>
    </row>
    <row r="14" spans="1:10" ht="15.75" x14ac:dyDescent="0.25">
      <c r="B14" s="41"/>
      <c r="C14" s="41"/>
      <c r="E14" s="120"/>
      <c r="F14" s="123"/>
      <c r="G14" s="126"/>
      <c r="H14" s="129"/>
      <c r="I14" s="8" t="s">
        <v>6</v>
      </c>
      <c r="J14" s="45"/>
    </row>
    <row r="15" spans="1:10" ht="15.75" x14ac:dyDescent="0.25">
      <c r="B15" s="42"/>
      <c r="C15" s="42"/>
      <c r="E15" s="120"/>
      <c r="F15" s="123"/>
      <c r="G15" s="126"/>
      <c r="H15" s="129"/>
      <c r="I15" s="8" t="s">
        <v>7</v>
      </c>
      <c r="J15" s="45"/>
    </row>
    <row r="16" spans="1:10" ht="15.75" x14ac:dyDescent="0.25">
      <c r="B16" s="42"/>
      <c r="C16" s="42"/>
      <c r="E16" s="120"/>
      <c r="F16" s="123"/>
      <c r="G16" s="126"/>
      <c r="H16" s="129"/>
      <c r="I16" s="8" t="s">
        <v>8</v>
      </c>
      <c r="J16" s="45"/>
    </row>
    <row r="17" spans="2:10" ht="15.75" x14ac:dyDescent="0.25">
      <c r="B17" s="42"/>
      <c r="C17" s="42"/>
      <c r="E17" s="120"/>
      <c r="F17" s="123"/>
      <c r="G17" s="126"/>
      <c r="H17" s="129"/>
      <c r="I17" s="8" t="s">
        <v>1</v>
      </c>
      <c r="J17" s="45"/>
    </row>
    <row r="18" spans="2:10" ht="15.75" x14ac:dyDescent="0.25">
      <c r="B18" s="42"/>
      <c r="C18" s="42"/>
      <c r="E18" s="120"/>
      <c r="F18" s="123"/>
      <c r="G18" s="126"/>
      <c r="H18" s="129"/>
      <c r="I18" s="8" t="s">
        <v>2</v>
      </c>
      <c r="J18" s="45"/>
    </row>
    <row r="19" spans="2:10" ht="15.75" x14ac:dyDescent="0.25">
      <c r="B19" s="42"/>
      <c r="C19" s="42"/>
      <c r="E19" s="120"/>
      <c r="F19" s="123"/>
      <c r="G19" s="126"/>
      <c r="H19" s="129"/>
      <c r="I19" s="8" t="s">
        <v>9</v>
      </c>
      <c r="J19" s="45"/>
    </row>
    <row r="20" spans="2:10" ht="15.75" x14ac:dyDescent="0.25">
      <c r="B20" s="42"/>
      <c r="C20" s="42"/>
      <c r="E20" s="120"/>
      <c r="F20" s="123"/>
      <c r="G20" s="126"/>
      <c r="H20" s="129"/>
      <c r="I20" s="8" t="s">
        <v>3</v>
      </c>
      <c r="J20" s="45"/>
    </row>
    <row r="21" spans="2:10" ht="15.75" x14ac:dyDescent="0.25">
      <c r="B21" s="42"/>
      <c r="C21" s="42"/>
      <c r="E21" s="121"/>
      <c r="F21" s="124"/>
      <c r="G21" s="127"/>
      <c r="H21" s="130"/>
      <c r="I21" s="8" t="s">
        <v>4</v>
      </c>
      <c r="J21" s="45"/>
    </row>
    <row r="22" spans="2:10" ht="15.75" x14ac:dyDescent="0.25">
      <c r="B22" s="42"/>
      <c r="C22" s="42"/>
      <c r="E22" s="119">
        <v>3</v>
      </c>
      <c r="F22" s="122"/>
      <c r="G22" s="125"/>
      <c r="H22" s="128"/>
      <c r="I22" s="8" t="s">
        <v>5</v>
      </c>
      <c r="J22" s="45"/>
    </row>
    <row r="23" spans="2:10" ht="15.75" x14ac:dyDescent="0.25">
      <c r="B23" s="42"/>
      <c r="C23" s="42"/>
      <c r="E23" s="120"/>
      <c r="F23" s="123"/>
      <c r="G23" s="126"/>
      <c r="H23" s="129"/>
      <c r="I23" s="8" t="s">
        <v>6</v>
      </c>
      <c r="J23" s="45"/>
    </row>
    <row r="24" spans="2:10" ht="15.75" x14ac:dyDescent="0.25">
      <c r="E24" s="120"/>
      <c r="F24" s="123"/>
      <c r="G24" s="126"/>
      <c r="H24" s="129"/>
      <c r="I24" s="8" t="s">
        <v>7</v>
      </c>
      <c r="J24" s="45"/>
    </row>
    <row r="25" spans="2:10" ht="15.75" x14ac:dyDescent="0.25">
      <c r="E25" s="120"/>
      <c r="F25" s="123"/>
      <c r="G25" s="126"/>
      <c r="H25" s="129"/>
      <c r="I25" s="8" t="s">
        <v>8</v>
      </c>
      <c r="J25" s="45"/>
    </row>
    <row r="26" spans="2:10" ht="15.75" x14ac:dyDescent="0.25">
      <c r="E26" s="120"/>
      <c r="F26" s="123"/>
      <c r="G26" s="126"/>
      <c r="H26" s="129"/>
      <c r="I26" s="8" t="s">
        <v>1</v>
      </c>
      <c r="J26" s="45"/>
    </row>
    <row r="27" spans="2:10" ht="15.75" x14ac:dyDescent="0.25">
      <c r="E27" s="120"/>
      <c r="F27" s="123"/>
      <c r="G27" s="126"/>
      <c r="H27" s="129"/>
      <c r="I27" s="8" t="s">
        <v>2</v>
      </c>
      <c r="J27" s="45"/>
    </row>
    <row r="28" spans="2:10" ht="15.75" x14ac:dyDescent="0.25">
      <c r="E28" s="120"/>
      <c r="F28" s="123"/>
      <c r="G28" s="126"/>
      <c r="H28" s="129"/>
      <c r="I28" s="8" t="s">
        <v>9</v>
      </c>
      <c r="J28" s="45"/>
    </row>
    <row r="29" spans="2:10" ht="15.75" x14ac:dyDescent="0.25">
      <c r="E29" s="120"/>
      <c r="F29" s="123"/>
      <c r="G29" s="126"/>
      <c r="H29" s="129"/>
      <c r="I29" s="8" t="s">
        <v>3</v>
      </c>
      <c r="J29" s="45"/>
    </row>
    <row r="30" spans="2:10" ht="15.75" x14ac:dyDescent="0.25">
      <c r="E30" s="121"/>
      <c r="F30" s="124"/>
      <c r="G30" s="127"/>
      <c r="H30" s="130"/>
      <c r="I30" s="8" t="s">
        <v>4</v>
      </c>
      <c r="J30" s="45"/>
    </row>
    <row r="31" spans="2:10" ht="15.75" x14ac:dyDescent="0.25">
      <c r="E31" s="119">
        <v>4</v>
      </c>
      <c r="F31" s="122"/>
      <c r="G31" s="125"/>
      <c r="H31" s="128"/>
      <c r="I31" s="8" t="s">
        <v>5</v>
      </c>
      <c r="J31" s="45"/>
    </row>
    <row r="32" spans="2:10" ht="15.75" x14ac:dyDescent="0.25">
      <c r="E32" s="120"/>
      <c r="F32" s="123"/>
      <c r="G32" s="126"/>
      <c r="H32" s="129"/>
      <c r="I32" s="8" t="s">
        <v>6</v>
      </c>
      <c r="J32" s="45"/>
    </row>
    <row r="33" spans="5:10" ht="15.75" x14ac:dyDescent="0.25">
      <c r="E33" s="120"/>
      <c r="F33" s="123"/>
      <c r="G33" s="126"/>
      <c r="H33" s="129"/>
      <c r="I33" s="8" t="s">
        <v>7</v>
      </c>
      <c r="J33" s="45"/>
    </row>
    <row r="34" spans="5:10" ht="15.75" x14ac:dyDescent="0.25">
      <c r="E34" s="120"/>
      <c r="F34" s="123"/>
      <c r="G34" s="126"/>
      <c r="H34" s="129"/>
      <c r="I34" s="8" t="s">
        <v>8</v>
      </c>
      <c r="J34" s="45"/>
    </row>
    <row r="35" spans="5:10" ht="15.75" x14ac:dyDescent="0.25">
      <c r="E35" s="120"/>
      <c r="F35" s="123"/>
      <c r="G35" s="126"/>
      <c r="H35" s="129"/>
      <c r="I35" s="8" t="s">
        <v>1</v>
      </c>
      <c r="J35" s="45"/>
    </row>
    <row r="36" spans="5:10" ht="15.75" x14ac:dyDescent="0.25">
      <c r="E36" s="120"/>
      <c r="F36" s="123"/>
      <c r="G36" s="126"/>
      <c r="H36" s="129"/>
      <c r="I36" s="8" t="s">
        <v>2</v>
      </c>
      <c r="J36" s="45"/>
    </row>
    <row r="37" spans="5:10" ht="15.75" x14ac:dyDescent="0.25">
      <c r="E37" s="120"/>
      <c r="F37" s="123"/>
      <c r="G37" s="126"/>
      <c r="H37" s="129"/>
      <c r="I37" s="8" t="s">
        <v>9</v>
      </c>
      <c r="J37" s="45"/>
    </row>
    <row r="38" spans="5:10" ht="15.75" x14ac:dyDescent="0.25">
      <c r="E38" s="120"/>
      <c r="F38" s="123"/>
      <c r="G38" s="126"/>
      <c r="H38" s="129"/>
      <c r="I38" s="8" t="s">
        <v>3</v>
      </c>
      <c r="J38" s="45"/>
    </row>
    <row r="39" spans="5:10" ht="15.75" x14ac:dyDescent="0.25">
      <c r="E39" s="121"/>
      <c r="F39" s="124"/>
      <c r="G39" s="127"/>
      <c r="H39" s="130"/>
      <c r="I39" s="8" t="s">
        <v>4</v>
      </c>
      <c r="J39" s="45"/>
    </row>
    <row r="40" spans="5:10" ht="15.75" x14ac:dyDescent="0.25">
      <c r="E40" s="119">
        <v>5</v>
      </c>
      <c r="F40" s="122"/>
      <c r="G40" s="125"/>
      <c r="H40" s="128"/>
      <c r="I40" s="8" t="s">
        <v>5</v>
      </c>
      <c r="J40" s="45"/>
    </row>
    <row r="41" spans="5:10" ht="15.75" x14ac:dyDescent="0.25">
      <c r="E41" s="120"/>
      <c r="F41" s="123"/>
      <c r="G41" s="126"/>
      <c r="H41" s="129"/>
      <c r="I41" s="8" t="s">
        <v>6</v>
      </c>
      <c r="J41" s="45"/>
    </row>
    <row r="42" spans="5:10" ht="15.75" x14ac:dyDescent="0.25">
      <c r="E42" s="120"/>
      <c r="F42" s="123"/>
      <c r="G42" s="126"/>
      <c r="H42" s="129"/>
      <c r="I42" s="8" t="s">
        <v>7</v>
      </c>
      <c r="J42" s="45"/>
    </row>
    <row r="43" spans="5:10" ht="15.75" x14ac:dyDescent="0.25">
      <c r="E43" s="120"/>
      <c r="F43" s="123"/>
      <c r="G43" s="126"/>
      <c r="H43" s="129"/>
      <c r="I43" s="8" t="s">
        <v>8</v>
      </c>
      <c r="J43" s="45"/>
    </row>
    <row r="44" spans="5:10" ht="15.75" x14ac:dyDescent="0.25">
      <c r="E44" s="120"/>
      <c r="F44" s="123"/>
      <c r="G44" s="126"/>
      <c r="H44" s="129"/>
      <c r="I44" s="8" t="s">
        <v>1</v>
      </c>
      <c r="J44" s="45"/>
    </row>
    <row r="45" spans="5:10" ht="15.75" x14ac:dyDescent="0.25">
      <c r="E45" s="120"/>
      <c r="F45" s="123"/>
      <c r="G45" s="126"/>
      <c r="H45" s="129"/>
      <c r="I45" s="8" t="s">
        <v>2</v>
      </c>
      <c r="J45" s="45"/>
    </row>
    <row r="46" spans="5:10" ht="15.75" x14ac:dyDescent="0.25">
      <c r="E46" s="120"/>
      <c r="F46" s="123"/>
      <c r="G46" s="126"/>
      <c r="H46" s="129"/>
      <c r="I46" s="8" t="s">
        <v>9</v>
      </c>
      <c r="J46" s="45"/>
    </row>
    <row r="47" spans="5:10" ht="15.75" x14ac:dyDescent="0.25">
      <c r="E47" s="120"/>
      <c r="F47" s="123"/>
      <c r="G47" s="126"/>
      <c r="H47" s="129"/>
      <c r="I47" s="8" t="s">
        <v>3</v>
      </c>
      <c r="J47" s="45"/>
    </row>
    <row r="48" spans="5:10" ht="15.75" x14ac:dyDescent="0.25">
      <c r="E48" s="121"/>
      <c r="F48" s="124"/>
      <c r="G48" s="127"/>
      <c r="H48" s="130"/>
      <c r="I48" s="8" t="s">
        <v>4</v>
      </c>
      <c r="J48" s="45"/>
    </row>
    <row r="49" spans="5:10" ht="15.75" x14ac:dyDescent="0.25">
      <c r="E49" s="119">
        <v>6</v>
      </c>
      <c r="F49" s="122"/>
      <c r="G49" s="125"/>
      <c r="H49" s="128"/>
      <c r="I49" s="8" t="s">
        <v>5</v>
      </c>
      <c r="J49" s="45"/>
    </row>
    <row r="50" spans="5:10" ht="15.75" x14ac:dyDescent="0.25">
      <c r="E50" s="120"/>
      <c r="F50" s="123"/>
      <c r="G50" s="126"/>
      <c r="H50" s="129"/>
      <c r="I50" s="8" t="s">
        <v>6</v>
      </c>
      <c r="J50" s="45"/>
    </row>
    <row r="51" spans="5:10" ht="15.75" x14ac:dyDescent="0.25">
      <c r="E51" s="120"/>
      <c r="F51" s="123"/>
      <c r="G51" s="126"/>
      <c r="H51" s="129"/>
      <c r="I51" s="8" t="s">
        <v>7</v>
      </c>
      <c r="J51" s="45"/>
    </row>
    <row r="52" spans="5:10" ht="15.75" x14ac:dyDescent="0.25">
      <c r="E52" s="120"/>
      <c r="F52" s="123"/>
      <c r="G52" s="126"/>
      <c r="H52" s="129"/>
      <c r="I52" s="8" t="s">
        <v>8</v>
      </c>
      <c r="J52" s="45"/>
    </row>
    <row r="53" spans="5:10" ht="15.75" x14ac:dyDescent="0.25">
      <c r="E53" s="120"/>
      <c r="F53" s="123"/>
      <c r="G53" s="126"/>
      <c r="H53" s="129"/>
      <c r="I53" s="8" t="s">
        <v>1</v>
      </c>
      <c r="J53" s="45"/>
    </row>
    <row r="54" spans="5:10" ht="15.75" x14ac:dyDescent="0.25">
      <c r="E54" s="120"/>
      <c r="F54" s="123"/>
      <c r="G54" s="126"/>
      <c r="H54" s="129"/>
      <c r="I54" s="8" t="s">
        <v>2</v>
      </c>
      <c r="J54" s="45"/>
    </row>
    <row r="55" spans="5:10" ht="15.75" x14ac:dyDescent="0.25">
      <c r="E55" s="120"/>
      <c r="F55" s="123"/>
      <c r="G55" s="126"/>
      <c r="H55" s="129"/>
      <c r="I55" s="8" t="s">
        <v>9</v>
      </c>
      <c r="J55" s="45"/>
    </row>
    <row r="56" spans="5:10" ht="15.75" x14ac:dyDescent="0.25">
      <c r="E56" s="120"/>
      <c r="F56" s="123"/>
      <c r="G56" s="126"/>
      <c r="H56" s="129"/>
      <c r="I56" s="8" t="s">
        <v>3</v>
      </c>
      <c r="J56" s="45"/>
    </row>
    <row r="57" spans="5:10" ht="15.75" x14ac:dyDescent="0.25">
      <c r="E57" s="121"/>
      <c r="F57" s="124"/>
      <c r="G57" s="127"/>
      <c r="H57" s="130"/>
      <c r="I57" s="8" t="s">
        <v>4</v>
      </c>
      <c r="J57" s="45"/>
    </row>
    <row r="218" spans="1:2" x14ac:dyDescent="0.25">
      <c r="A218">
        <v>5</v>
      </c>
      <c r="B218">
        <v>5</v>
      </c>
    </row>
  </sheetData>
  <mergeCells count="25">
    <mergeCell ref="E49:E57"/>
    <mergeCell ref="F49:F57"/>
    <mergeCell ref="G49:G57"/>
    <mergeCell ref="H49:H57"/>
    <mergeCell ref="E31:E39"/>
    <mergeCell ref="F31:F39"/>
    <mergeCell ref="G31:G39"/>
    <mergeCell ref="H31:H39"/>
    <mergeCell ref="E40:E48"/>
    <mergeCell ref="F40:F48"/>
    <mergeCell ref="G40:G48"/>
    <mergeCell ref="H40:H48"/>
    <mergeCell ref="I3:J3"/>
    <mergeCell ref="E22:E30"/>
    <mergeCell ref="F22:F30"/>
    <mergeCell ref="G22:G30"/>
    <mergeCell ref="H22:H30"/>
    <mergeCell ref="E13:E21"/>
    <mergeCell ref="F13:F21"/>
    <mergeCell ref="G13:G21"/>
    <mergeCell ref="H13:H21"/>
    <mergeCell ref="E4:E12"/>
    <mergeCell ref="F4:F12"/>
    <mergeCell ref="G4:G12"/>
    <mergeCell ref="H4:H1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1"/>
  <sheetViews>
    <sheetView workbookViewId="0">
      <selection activeCell="B21" sqref="B21"/>
    </sheetView>
  </sheetViews>
  <sheetFormatPr defaultRowHeight="15" x14ac:dyDescent="0.25"/>
  <cols>
    <col min="1" max="1" width="18.85546875" style="55" customWidth="1"/>
    <col min="2" max="2" width="19.28515625" style="55" customWidth="1"/>
    <col min="3" max="16384" width="9.140625" style="55"/>
  </cols>
  <sheetData>
    <row r="1" spans="1:2" ht="15.75" x14ac:dyDescent="0.25">
      <c r="A1" s="72"/>
      <c r="B1"/>
    </row>
    <row r="2" spans="1:2" x14ac:dyDescent="0.25">
      <c r="A2"/>
      <c r="B2" s="41"/>
    </row>
    <row r="3" spans="1:2" ht="15.75" x14ac:dyDescent="0.25">
      <c r="A3" s="73"/>
      <c r="B3" s="42"/>
    </row>
    <row r="4" spans="1:2" ht="15.75" x14ac:dyDescent="0.25">
      <c r="A4" s="73"/>
      <c r="B4" s="42"/>
    </row>
    <row r="5" spans="1:2" ht="15.75" x14ac:dyDescent="0.25">
      <c r="A5" s="73"/>
      <c r="B5" s="42"/>
    </row>
    <row r="6" spans="1:2" ht="15.75" x14ac:dyDescent="0.25">
      <c r="A6" s="73"/>
      <c r="B6" s="42"/>
    </row>
    <row r="7" spans="1:2" ht="15.75" x14ac:dyDescent="0.25">
      <c r="A7" s="73"/>
      <c r="B7" s="42"/>
    </row>
    <row r="8" spans="1:2" ht="15.75" x14ac:dyDescent="0.25">
      <c r="A8" s="73"/>
      <c r="B8" s="42"/>
    </row>
    <row r="9" spans="1:2" ht="15.75" x14ac:dyDescent="0.25">
      <c r="A9" s="73"/>
      <c r="B9" s="42"/>
    </row>
    <row r="10" spans="1:2" ht="15.75" x14ac:dyDescent="0.25">
      <c r="A10" s="73"/>
      <c r="B10" s="42"/>
    </row>
    <row r="11" spans="1:2" ht="15.75" x14ac:dyDescent="0.25">
      <c r="A11" s="73"/>
      <c r="B11" s="42"/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52"/>
  <sheetViews>
    <sheetView topLeftCell="A22" zoomScaleNormal="100" workbookViewId="0">
      <selection activeCell="K2" sqref="K2"/>
    </sheetView>
  </sheetViews>
  <sheetFormatPr defaultRowHeight="15" x14ac:dyDescent="0.25"/>
  <cols>
    <col min="2" max="2" width="18.5703125" customWidth="1"/>
    <col min="3" max="3" width="12.7109375" customWidth="1"/>
    <col min="5" max="5" width="18.7109375" customWidth="1"/>
    <col min="6" max="6" width="19" customWidth="1"/>
    <col min="7" max="7" width="18.42578125" customWidth="1"/>
    <col min="8" max="8" width="19.5703125" customWidth="1"/>
    <col min="9" max="9" width="12" bestFit="1" customWidth="1"/>
    <col min="10" max="10" width="14.7109375" customWidth="1"/>
    <col min="11" max="11" width="10.28515625" bestFit="1" customWidth="1"/>
    <col min="12" max="12" width="12.85546875" customWidth="1"/>
  </cols>
  <sheetData>
    <row r="1" spans="1:12" ht="18" x14ac:dyDescent="0.35">
      <c r="A1" s="80" t="s">
        <v>45</v>
      </c>
      <c r="B1" s="72">
        <v>0.9961470365524292</v>
      </c>
      <c r="D1" s="81" t="s">
        <v>66</v>
      </c>
      <c r="E1" s="81" t="s">
        <v>51</v>
      </c>
      <c r="F1" s="81" t="s">
        <v>57</v>
      </c>
      <c r="G1" t="s">
        <v>58</v>
      </c>
      <c r="H1" s="81" t="s">
        <v>59</v>
      </c>
      <c r="I1" t="s">
        <v>60</v>
      </c>
      <c r="J1" t="s">
        <v>61</v>
      </c>
      <c r="K1" t="s">
        <v>68</v>
      </c>
      <c r="L1" s="80"/>
    </row>
    <row r="2" spans="1:12" x14ac:dyDescent="0.25">
      <c r="A2" s="80" t="s">
        <v>46</v>
      </c>
      <c r="B2">
        <v>1.0048903226852417</v>
      </c>
      <c r="D2" s="55">
        <v>2.7169983386993408</v>
      </c>
      <c r="E2" s="55">
        <v>0.51644468307495117</v>
      </c>
      <c r="F2" s="55">
        <f>Ψ2*rn-Ψ5*tn+gn*Ψ1^ln*Ψ2*ln*ω^(Ψ2*ln)*τ^(Ψ3*ln)</f>
        <v>-214.15975222619485</v>
      </c>
      <c r="G2">
        <f>2*(α*Ψ2*(Ψ1*ω^Ψ2*τ^Ψ3-1)*Ψ1*ω^Ψ2*τ^Ψ3-β*Ψ5*((Ψ4*ω^Ψ5*τ^Ψ6)^-1-γ)*(Ψ4*ω^Ψ5*τ^Ψ6)^-1)+Ψ2*rn-Ψ5*tn</f>
        <v>4.2073394581675529</v>
      </c>
      <c r="H2">
        <f>(Ψ1*ω^Ψ2*τ^Ψ3)^rn*(Ψ4*ω^Ψ5*τ^Ψ6)^-tn*EXP(gn*(Ψ1*ω^Ψ2*τ^Ψ3)^ln)</f>
        <v>1.7197210518358262E-17</v>
      </c>
      <c r="I2" s="55">
        <f>(Ψ1*ω^Ψ2*τ^Ψ3)^rn*(Ψ4*ω^Ψ5*τ^Ψ6)^-tn*EXP(α*(Ψ1*ω^Ψ2*τ^Ψ3-ε)^2+β*((Ψ4*ω^Ψ5*τ^Ψ6)^-1-γ)^2)</f>
        <v>6745028.5188457845</v>
      </c>
      <c r="J2">
        <f>gn*Ψ1^ln*Ψ2*Ψ3*ln^2*ω^(Ψ2*ln)*τ^(Ψ3*ln)</f>
        <v>-2.3848078618849624</v>
      </c>
      <c r="K2" t="e">
        <f ca="1">2*(α*Ψ2*Ψ3*(2*Ψ1*ω^Ψ2*τ^Ψ3-1)*Ψ1*ω^Ψ2*τ^Ψ3+β*Ψ5*Ψ6(2*(Ψ4*ω^Ψ5*τ^Ψ6)^-1-γ)*(Ψ4*ω^Ψ5*τ^Ψ6)^-1)</f>
        <v>#REF!</v>
      </c>
      <c r="L2" s="80"/>
    </row>
    <row r="3" spans="1:12" ht="15.75" x14ac:dyDescent="0.25">
      <c r="A3" s="80" t="s">
        <v>47</v>
      </c>
      <c r="B3" s="73">
        <v>2.730273874476552E-3</v>
      </c>
      <c r="E3" s="54"/>
      <c r="G3">
        <f>-LOG10(G2)</f>
        <v>-0.62400755334372626</v>
      </c>
      <c r="I3" s="55"/>
      <c r="J3" s="42"/>
      <c r="L3" s="80"/>
    </row>
    <row r="4" spans="1:12" ht="15.75" x14ac:dyDescent="0.25">
      <c r="A4" s="80" t="s">
        <v>48</v>
      </c>
      <c r="B4" s="73">
        <v>1.0207176208496094</v>
      </c>
      <c r="G4" s="55"/>
      <c r="H4" t="s">
        <v>64</v>
      </c>
      <c r="I4" t="s">
        <v>65</v>
      </c>
      <c r="J4" t="s">
        <v>62</v>
      </c>
      <c r="K4" t="s">
        <v>63</v>
      </c>
      <c r="L4" s="80"/>
    </row>
    <row r="5" spans="1:12" ht="15.75" x14ac:dyDescent="0.25">
      <c r="A5" s="80" t="s">
        <v>49</v>
      </c>
      <c r="B5" s="73">
        <v>-1.043212041258812E-2</v>
      </c>
      <c r="D5" s="55"/>
      <c r="E5" s="55"/>
      <c r="I5" s="55"/>
      <c r="L5" s="80"/>
    </row>
    <row r="6" spans="1:12" ht="15.75" x14ac:dyDescent="0.25">
      <c r="A6" s="80" t="s">
        <v>50</v>
      </c>
      <c r="B6" s="73">
        <v>1.0013923645019531</v>
      </c>
      <c r="C6" s="84"/>
      <c r="D6" s="84"/>
      <c r="I6" s="55"/>
      <c r="J6">
        <f>gn*Ψ1^ln</f>
        <v>-0.98467698960005623</v>
      </c>
      <c r="L6" s="80"/>
    </row>
    <row r="7" spans="1:12" x14ac:dyDescent="0.25">
      <c r="J7">
        <f>Ψ2*Ψ3*ln^2</f>
        <v>4.3898012715869239E-2</v>
      </c>
    </row>
    <row r="8" spans="1:12" x14ac:dyDescent="0.25">
      <c r="J8">
        <f>ω^(Ψ2*ln)*τ^(Ψ3*ln)</f>
        <v>55.171494136587647</v>
      </c>
    </row>
    <row r="9" spans="1:12" ht="19.5" thickBot="1" x14ac:dyDescent="0.3">
      <c r="A9" s="79" t="s">
        <v>16</v>
      </c>
      <c r="B9" s="26" t="s">
        <v>25</v>
      </c>
      <c r="C9" s="79" t="s">
        <v>26</v>
      </c>
      <c r="D9" s="79" t="s">
        <v>67</v>
      </c>
      <c r="E9" s="79" t="s">
        <v>28</v>
      </c>
      <c r="F9" s="79" t="s">
        <v>29</v>
      </c>
      <c r="G9" s="82" t="s">
        <v>54</v>
      </c>
      <c r="H9" s="79" t="s">
        <v>52</v>
      </c>
      <c r="I9" s="79" t="s">
        <v>53</v>
      </c>
      <c r="J9" s="79" t="s">
        <v>55</v>
      </c>
    </row>
    <row r="10" spans="1:12" ht="16.5" thickTop="1" x14ac:dyDescent="0.25">
      <c r="A10" s="3">
        <v>33</v>
      </c>
      <c r="B10" s="32">
        <v>-3.9616249050000003E-2</v>
      </c>
      <c r="C10" s="85">
        <v>4</v>
      </c>
      <c r="D10" s="85">
        <v>18</v>
      </c>
      <c r="E10" s="85">
        <v>-1</v>
      </c>
      <c r="F10" s="85">
        <v>4</v>
      </c>
      <c r="G10" s="85">
        <v>0</v>
      </c>
      <c r="H10" s="85">
        <v>0</v>
      </c>
      <c r="I10" s="3">
        <v>0</v>
      </c>
      <c r="J10" s="3">
        <v>0</v>
      </c>
    </row>
    <row r="11" spans="1:12" ht="15.75" x14ac:dyDescent="0.25">
      <c r="A11" s="61"/>
      <c r="B11" s="83"/>
      <c r="C11" s="49"/>
      <c r="D11" s="49"/>
      <c r="E11" s="49"/>
      <c r="F11" s="49"/>
      <c r="G11" s="49"/>
      <c r="H11" s="49"/>
      <c r="I11" s="61"/>
      <c r="J11" s="61"/>
    </row>
    <row r="12" spans="1:12" ht="15.75" x14ac:dyDescent="0.25">
      <c r="A12" s="116"/>
      <c r="B12" s="112" t="s">
        <v>15</v>
      </c>
      <c r="C12" s="116"/>
      <c r="D12" s="116"/>
      <c r="E12" s="116"/>
      <c r="F12" s="116"/>
      <c r="G12" s="116"/>
      <c r="H12" s="116"/>
      <c r="I12" s="116"/>
      <c r="J12" s="116"/>
      <c r="K12" s="116"/>
    </row>
    <row r="13" spans="1:12" ht="39" thickBot="1" x14ac:dyDescent="0.3">
      <c r="A13" s="117"/>
      <c r="B13" s="113"/>
      <c r="C13" s="21" t="s">
        <v>5</v>
      </c>
      <c r="D13" s="79" t="s">
        <v>6</v>
      </c>
      <c r="E13" s="79" t="s">
        <v>7</v>
      </c>
      <c r="F13" s="79" t="s">
        <v>8</v>
      </c>
      <c r="G13" s="79" t="s">
        <v>1</v>
      </c>
      <c r="H13" s="79" t="s">
        <v>2</v>
      </c>
      <c r="I13" s="79" t="s">
        <v>9</v>
      </c>
      <c r="J13" s="79" t="s">
        <v>3</v>
      </c>
      <c r="K13" s="22" t="s">
        <v>21</v>
      </c>
    </row>
    <row r="14" spans="1:12" ht="16.5" thickTop="1" x14ac:dyDescent="0.25">
      <c r="A14" s="23">
        <v>1</v>
      </c>
      <c r="B14" s="23">
        <v>1</v>
      </c>
      <c r="C14" s="23">
        <v>0</v>
      </c>
      <c r="D14" s="23">
        <v>-5.4994040000000001E-2</v>
      </c>
      <c r="E14" s="23">
        <v>-0.10338020000000001</v>
      </c>
      <c r="F14" s="23">
        <v>-0.1446201</v>
      </c>
      <c r="G14" s="23">
        <v>-0.13305690000000001</v>
      </c>
      <c r="H14" s="23">
        <v>-0.13449639999999999</v>
      </c>
      <c r="I14" s="23">
        <v>-0.15002470000000001</v>
      </c>
      <c r="J14" s="24">
        <v>-1.1065800000000001E-2</v>
      </c>
      <c r="K14" s="23">
        <v>0</v>
      </c>
    </row>
    <row r="15" spans="1:12" ht="15.75" x14ac:dyDescent="0.25">
      <c r="A15" s="78">
        <v>2</v>
      </c>
      <c r="B15" s="78">
        <v>1</v>
      </c>
      <c r="C15" s="78">
        <v>0</v>
      </c>
      <c r="D15" s="78">
        <v>7.1320880000000003E-2</v>
      </c>
      <c r="E15" s="78">
        <v>0.12564330000000001</v>
      </c>
      <c r="F15" s="78">
        <v>0.16915340000000001</v>
      </c>
      <c r="G15" s="78">
        <v>0.15150159999999999</v>
      </c>
      <c r="H15" s="78">
        <v>0.17577780000000001</v>
      </c>
      <c r="I15" s="78">
        <v>0.1765188</v>
      </c>
      <c r="J15" s="78">
        <v>1.395339E-2</v>
      </c>
      <c r="K15" s="78">
        <v>0</v>
      </c>
    </row>
    <row r="16" spans="1:12" ht="15.75" x14ac:dyDescent="0.25">
      <c r="A16" s="78">
        <v>3</v>
      </c>
      <c r="B16" s="78">
        <v>0</v>
      </c>
      <c r="C16" s="78">
        <v>0</v>
      </c>
      <c r="D16" s="78">
        <v>3.4117479999999999E-2</v>
      </c>
      <c r="E16" s="78">
        <v>5.515581E-2</v>
      </c>
      <c r="F16" s="78">
        <v>7.2559680000000001E-2</v>
      </c>
      <c r="G16" s="78">
        <v>6.7037810000000003E-2</v>
      </c>
      <c r="H16" s="78">
        <v>7.7513440000000003E-2</v>
      </c>
      <c r="I16" s="78">
        <v>8.0763950000000001E-2</v>
      </c>
      <c r="J16" s="78">
        <v>1.517371E-2</v>
      </c>
      <c r="K16" s="78">
        <v>0</v>
      </c>
    </row>
    <row r="17" spans="1:11" ht="15.75" x14ac:dyDescent="0.25">
      <c r="A17" s="78">
        <v>4</v>
      </c>
      <c r="B17" s="78">
        <v>1</v>
      </c>
      <c r="C17" s="78">
        <v>0</v>
      </c>
      <c r="D17" s="78">
        <v>0.34638439999999998</v>
      </c>
      <c r="E17" s="78">
        <v>0.38770779999999999</v>
      </c>
      <c r="F17" s="78">
        <v>0.38432759999999999</v>
      </c>
      <c r="G17" s="15">
        <v>0.310168</v>
      </c>
      <c r="H17" s="78">
        <v>0.4160334</v>
      </c>
      <c r="I17" s="78">
        <v>0.38025540000000002</v>
      </c>
      <c r="J17" s="78">
        <v>4.9076719999999997E-2</v>
      </c>
      <c r="K17" s="78">
        <v>0</v>
      </c>
    </row>
    <row r="18" spans="1:11" ht="15.75" x14ac:dyDescent="0.25">
      <c r="A18" s="78">
        <v>5</v>
      </c>
      <c r="B18" s="78">
        <v>0</v>
      </c>
      <c r="C18" s="78">
        <v>0</v>
      </c>
      <c r="D18" s="78">
        <v>-0.17569870000000001</v>
      </c>
      <c r="E18" s="15">
        <v>-0.18687000000000001</v>
      </c>
      <c r="F18" s="78">
        <v>-0.1778766</v>
      </c>
      <c r="G18" s="78">
        <v>-0.14282829999999999</v>
      </c>
      <c r="H18" s="78">
        <v>-0.1988925</v>
      </c>
      <c r="I18" s="78">
        <v>-0.1789241</v>
      </c>
      <c r="J18" s="78">
        <v>-2.4921410000000001E-2</v>
      </c>
      <c r="K18" s="78">
        <v>0</v>
      </c>
    </row>
    <row r="19" spans="1:11" ht="15.75" x14ac:dyDescent="0.25">
      <c r="A19" s="78">
        <v>6</v>
      </c>
      <c r="B19" s="78">
        <v>1</v>
      </c>
      <c r="C19" s="78">
        <v>0</v>
      </c>
      <c r="D19" s="78">
        <v>1.1812349999999999E-2</v>
      </c>
      <c r="E19" s="17">
        <v>5.0991099999999998E-2</v>
      </c>
      <c r="F19" s="78">
        <v>7.9483369999999998E-2</v>
      </c>
      <c r="G19" s="78">
        <v>0.10225430000000001</v>
      </c>
      <c r="H19" s="17">
        <v>9.9676600000000004E-2</v>
      </c>
      <c r="I19" s="78">
        <v>0.1206911</v>
      </c>
      <c r="J19" s="78">
        <v>7.0762689999999996E-3</v>
      </c>
      <c r="K19" s="78">
        <v>0</v>
      </c>
    </row>
    <row r="20" spans="1:11" ht="15.75" x14ac:dyDescent="0.25">
      <c r="A20" s="61"/>
      <c r="B20" s="83"/>
      <c r="C20">
        <v>0.89781999999999995</v>
      </c>
      <c r="D20">
        <v>4.5519999999999998E-2</v>
      </c>
      <c r="E20">
        <v>4.1399999999999996E-3</v>
      </c>
      <c r="F20">
        <v>0</v>
      </c>
      <c r="G20">
        <v>1.4399999999999999E-3</v>
      </c>
      <c r="H20">
        <v>0</v>
      </c>
      <c r="I20">
        <v>1.1899999999999999E-3</v>
      </c>
      <c r="J20">
        <v>4.9840000000000002E-2</v>
      </c>
      <c r="K20">
        <v>5.0000000000000002E-5</v>
      </c>
    </row>
    <row r="22" spans="1:11" x14ac:dyDescent="0.25">
      <c r="C22">
        <f>C14*$C$20</f>
        <v>0</v>
      </c>
      <c r="D22">
        <f>D14*$D$20</f>
        <v>-2.5033287008E-3</v>
      </c>
      <c r="E22">
        <f>E14*$E$20</f>
        <v>-4.2799402800000001E-4</v>
      </c>
      <c r="F22">
        <f>F14*$F$20</f>
        <v>0</v>
      </c>
      <c r="G22">
        <f>G14*$G$20</f>
        <v>-1.9160193599999998E-4</v>
      </c>
      <c r="H22">
        <f>H14*$H$20</f>
        <v>0</v>
      </c>
      <c r="I22">
        <f>I14*$I$20</f>
        <v>-1.78529393E-4</v>
      </c>
      <c r="J22">
        <f>J14*$J$20</f>
        <v>-5.5151947200000005E-4</v>
      </c>
      <c r="K22">
        <f>K14*$K$20</f>
        <v>0</v>
      </c>
    </row>
    <row r="23" spans="1:11" x14ac:dyDescent="0.25">
      <c r="C23">
        <f t="shared" ref="C23:C27" si="0">C15*$C$20</f>
        <v>0</v>
      </c>
      <c r="D23">
        <f t="shared" ref="D23:D27" si="1">D15*$D$20</f>
        <v>3.2465264576E-3</v>
      </c>
      <c r="E23">
        <f t="shared" ref="E23:E27" si="2">E15*$E$20</f>
        <v>5.2016326199999996E-4</v>
      </c>
      <c r="F23">
        <f t="shared" ref="F23:F27" si="3">F15*$F$20</f>
        <v>0</v>
      </c>
      <c r="G23">
        <f t="shared" ref="G23:G27" si="4">G15*$G$20</f>
        <v>2.1816230399999997E-4</v>
      </c>
      <c r="H23">
        <f t="shared" ref="H23:H27" si="5">H15*$H$20</f>
        <v>0</v>
      </c>
      <c r="I23">
        <f t="shared" ref="I23:I27" si="6">I15*$I$20</f>
        <v>2.1005737199999999E-4</v>
      </c>
      <c r="J23">
        <f t="shared" ref="J23:J27" si="7">J15*$J$20</f>
        <v>6.9543695759999996E-4</v>
      </c>
      <c r="K23">
        <f t="shared" ref="K23:K27" si="8">K15*$K$20</f>
        <v>0</v>
      </c>
    </row>
    <row r="24" spans="1:11" x14ac:dyDescent="0.25">
      <c r="C24">
        <f t="shared" si="0"/>
        <v>0</v>
      </c>
      <c r="D24">
        <f t="shared" si="1"/>
        <v>1.5530276895999999E-3</v>
      </c>
      <c r="E24">
        <f t="shared" si="2"/>
        <v>2.2834505339999997E-4</v>
      </c>
      <c r="F24">
        <f t="shared" si="3"/>
        <v>0</v>
      </c>
      <c r="G24">
        <f t="shared" si="4"/>
        <v>9.6534446399999994E-5</v>
      </c>
      <c r="H24">
        <f t="shared" si="5"/>
        <v>0</v>
      </c>
      <c r="I24">
        <f t="shared" si="6"/>
        <v>9.6109100499999989E-5</v>
      </c>
      <c r="J24">
        <f t="shared" si="7"/>
        <v>7.562577064E-4</v>
      </c>
      <c r="K24">
        <f t="shared" si="8"/>
        <v>0</v>
      </c>
    </row>
    <row r="25" spans="1:11" x14ac:dyDescent="0.25">
      <c r="C25">
        <f t="shared" si="0"/>
        <v>0</v>
      </c>
      <c r="D25">
        <f t="shared" si="1"/>
        <v>1.5767417887999999E-2</v>
      </c>
      <c r="E25">
        <f t="shared" si="2"/>
        <v>1.6051102919999998E-3</v>
      </c>
      <c r="F25">
        <f t="shared" si="3"/>
        <v>0</v>
      </c>
      <c r="G25">
        <f t="shared" si="4"/>
        <v>4.4664191999999996E-4</v>
      </c>
      <c r="H25">
        <f t="shared" si="5"/>
        <v>0</v>
      </c>
      <c r="I25">
        <f t="shared" si="6"/>
        <v>4.5250392599999997E-4</v>
      </c>
      <c r="J25">
        <f t="shared" si="7"/>
        <v>2.4459837248000001E-3</v>
      </c>
      <c r="K25">
        <f t="shared" si="8"/>
        <v>0</v>
      </c>
    </row>
    <row r="26" spans="1:11" x14ac:dyDescent="0.25">
      <c r="C26">
        <f t="shared" si="0"/>
        <v>0</v>
      </c>
      <c r="D26">
        <f t="shared" si="1"/>
        <v>-7.9978048240000009E-3</v>
      </c>
      <c r="E26">
        <f t="shared" si="2"/>
        <v>-7.7364179999999999E-4</v>
      </c>
      <c r="F26">
        <f t="shared" si="3"/>
        <v>0</v>
      </c>
      <c r="G26">
        <f t="shared" si="4"/>
        <v>-2.0567275199999998E-4</v>
      </c>
      <c r="H26">
        <f t="shared" si="5"/>
        <v>0</v>
      </c>
      <c r="I26">
        <f t="shared" si="6"/>
        <v>-2.1291967899999997E-4</v>
      </c>
      <c r="J26">
        <f t="shared" si="7"/>
        <v>-1.2420830744000002E-3</v>
      </c>
      <c r="K26">
        <f t="shared" si="8"/>
        <v>0</v>
      </c>
    </row>
    <row r="27" spans="1:11" x14ac:dyDescent="0.25">
      <c r="C27">
        <f t="shared" si="0"/>
        <v>0</v>
      </c>
      <c r="D27">
        <f t="shared" si="1"/>
        <v>5.3769817199999994E-4</v>
      </c>
      <c r="E27">
        <f t="shared" si="2"/>
        <v>2.1110315399999996E-4</v>
      </c>
      <c r="F27">
        <f t="shared" si="3"/>
        <v>0</v>
      </c>
      <c r="G27">
        <f t="shared" si="4"/>
        <v>1.4724619199999998E-4</v>
      </c>
      <c r="H27">
        <f t="shared" si="5"/>
        <v>0</v>
      </c>
      <c r="I27">
        <f t="shared" si="6"/>
        <v>1.4362240899999998E-4</v>
      </c>
      <c r="J27">
        <f t="shared" si="7"/>
        <v>3.5268124696000001E-4</v>
      </c>
      <c r="K27">
        <f t="shared" si="8"/>
        <v>0</v>
      </c>
    </row>
    <row r="43" spans="1:2" x14ac:dyDescent="0.25">
      <c r="A43" t="s">
        <v>0</v>
      </c>
      <c r="B43" t="s">
        <v>56</v>
      </c>
    </row>
    <row r="44" spans="1:2" x14ac:dyDescent="0.25">
      <c r="A44" t="s">
        <v>5</v>
      </c>
      <c r="B44">
        <v>0.89781999999999995</v>
      </c>
    </row>
    <row r="45" spans="1:2" x14ac:dyDescent="0.25">
      <c r="A45" t="s">
        <v>6</v>
      </c>
      <c r="B45">
        <v>4.5519999999999998E-2</v>
      </c>
    </row>
    <row r="46" spans="1:2" x14ac:dyDescent="0.25">
      <c r="A46" t="s">
        <v>7</v>
      </c>
      <c r="B46">
        <v>4.1399999999999996E-3</v>
      </c>
    </row>
    <row r="47" spans="1:2" x14ac:dyDescent="0.25">
      <c r="A47" t="s">
        <v>8</v>
      </c>
      <c r="B47">
        <v>0</v>
      </c>
    </row>
    <row r="48" spans="1:2" x14ac:dyDescent="0.25">
      <c r="A48" t="s">
        <v>1</v>
      </c>
      <c r="B48">
        <v>1.4399999999999999E-3</v>
      </c>
    </row>
    <row r="49" spans="1:2" x14ac:dyDescent="0.25">
      <c r="A49" t="s">
        <v>2</v>
      </c>
      <c r="B49">
        <v>0</v>
      </c>
    </row>
    <row r="50" spans="1:2" x14ac:dyDescent="0.25">
      <c r="A50" t="s">
        <v>9</v>
      </c>
      <c r="B50">
        <v>1.1899999999999999E-3</v>
      </c>
    </row>
    <row r="51" spans="1:2" x14ac:dyDescent="0.25">
      <c r="A51" t="s">
        <v>3</v>
      </c>
      <c r="B51">
        <v>4.9840000000000002E-2</v>
      </c>
    </row>
    <row r="52" spans="1:2" x14ac:dyDescent="0.25">
      <c r="A52" t="s">
        <v>4</v>
      </c>
      <c r="B52">
        <v>5.0000000000000002E-5</v>
      </c>
    </row>
  </sheetData>
  <mergeCells count="3">
    <mergeCell ref="A12:A13"/>
    <mergeCell ref="B12:B13"/>
    <mergeCell ref="C12:K1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17</vt:i4>
      </vt:variant>
    </vt:vector>
  </HeadingPairs>
  <TitlesOfParts>
    <vt:vector size="21" baseType="lpstr">
      <vt:lpstr>ВХОДНЫЕ ДАННЫЕ</vt:lpstr>
      <vt:lpstr>ВЫХОДНЫЕ ДАННЫЕ</vt:lpstr>
      <vt:lpstr>Лист3</vt:lpstr>
      <vt:lpstr>Лист1</vt:lpstr>
      <vt:lpstr>bn</vt:lpstr>
      <vt:lpstr>gn</vt:lpstr>
      <vt:lpstr>ln</vt:lpstr>
      <vt:lpstr>rn</vt:lpstr>
      <vt:lpstr>tn</vt:lpstr>
      <vt:lpstr>α</vt:lpstr>
      <vt:lpstr>β</vt:lpstr>
      <vt:lpstr>γ</vt:lpstr>
      <vt:lpstr>ε</vt:lpstr>
      <vt:lpstr>τ</vt:lpstr>
      <vt:lpstr>Ψ1</vt:lpstr>
      <vt:lpstr>Ψ2</vt:lpstr>
      <vt:lpstr>Ψ3</vt:lpstr>
      <vt:lpstr>Ψ4</vt:lpstr>
      <vt:lpstr>Ψ5</vt:lpstr>
      <vt:lpstr>Ψ6</vt:lpstr>
      <vt:lpstr>ω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А-343</dc:creator>
  <cp:lastModifiedBy>А-343</cp:lastModifiedBy>
  <dcterms:created xsi:type="dcterms:W3CDTF">2018-01-24T09:02:55Z</dcterms:created>
  <dcterms:modified xsi:type="dcterms:W3CDTF">2018-05-24T11:52:39Z</dcterms:modified>
</cp:coreProperties>
</file>